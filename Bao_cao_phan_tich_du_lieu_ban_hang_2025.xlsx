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m05\Downloads\"/>
    </mc:Choice>
  </mc:AlternateContent>
  <xr:revisionPtr revIDLastSave="0" documentId="13_ncr:1_{1A1BD2FE-881D-4E5D-A3E5-2DE58A41AC32}" xr6:coauthVersionLast="47" xr6:coauthVersionMax="47" xr10:uidLastSave="{00000000-0000-0000-0000-000000000000}"/>
  <bookViews>
    <workbookView xWindow="-110" yWindow="-110" windowWidth="19420" windowHeight="10300" tabRatio="500" firstSheet="7" activeTab="9" xr2:uid="{00000000-000D-0000-FFFF-FFFF00000000}"/>
  </bookViews>
  <sheets>
    <sheet name="Dữ liệu thô" sheetId="3" r:id="rId1"/>
    <sheet name="Làm sạch dữ liệu" sheetId="4" r:id="rId2"/>
    <sheet name="Dữ liệu sạch" sheetId="5" r:id="rId3"/>
    <sheet name="Thống kê mô tả" sheetId="6" r:id="rId4"/>
    <sheet name="PT Thời gian" sheetId="7" r:id="rId5"/>
    <sheet name="PT Sản phẩm" sheetId="8" r:id="rId6"/>
    <sheet name="PT Khu vực - Kênh" sheetId="9" r:id="rId7"/>
    <sheet name="PT Khách hàng - NV" sheetId="10" r:id="rId8"/>
    <sheet name="Dashboard" sheetId="11" r:id="rId9"/>
    <sheet name="Insight - Đề xuất" sheetId="12" r:id="rId10"/>
  </sheets>
  <definedNames>
    <definedName name="_xlnm._FilterDatabase" localSheetId="2" hidden="1">'Dữ liệu sạch'!$A$1:$Y$201</definedName>
    <definedName name="_xlnm._FilterDatabase" localSheetId="0" hidden="1">'Dữ liệu thô'!$A$1:$P$207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8" i="11" l="1"/>
  <c r="K5" i="11"/>
  <c r="E113" i="10"/>
  <c r="E112" i="10"/>
  <c r="E111" i="10"/>
  <c r="E110" i="10"/>
  <c r="E109" i="10"/>
  <c r="E108" i="10"/>
  <c r="E107" i="10"/>
  <c r="E106" i="10"/>
  <c r="E105" i="10"/>
  <c r="E104" i="10"/>
  <c r="I103" i="10"/>
  <c r="G103" i="10"/>
  <c r="F103" i="10"/>
  <c r="H103" i="10" s="1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B6" i="10" s="1"/>
  <c r="E58" i="10"/>
  <c r="E57" i="10"/>
  <c r="E56" i="10"/>
  <c r="E55" i="10"/>
  <c r="E54" i="10"/>
  <c r="B35" i="10" s="1"/>
  <c r="I20" i="10"/>
  <c r="B20" i="10"/>
  <c r="I19" i="10"/>
  <c r="H19" i="10" s="1"/>
  <c r="B19" i="10"/>
  <c r="I18" i="10"/>
  <c r="H18" i="10" s="1"/>
  <c r="B18" i="10"/>
  <c r="I17" i="10"/>
  <c r="H17" i="10" s="1"/>
  <c r="B17" i="10"/>
  <c r="I16" i="10"/>
  <c r="H16" i="10" s="1"/>
  <c r="B16" i="10"/>
  <c r="I15" i="10"/>
  <c r="H15" i="10" s="1"/>
  <c r="B15" i="10"/>
  <c r="I14" i="10"/>
  <c r="H14" i="10" s="1"/>
  <c r="B14" i="10"/>
  <c r="I13" i="10"/>
  <c r="H13" i="10" s="1"/>
  <c r="B13" i="10"/>
  <c r="I12" i="10"/>
  <c r="B12" i="10"/>
  <c r="C7" i="10"/>
  <c r="B7" i="10"/>
  <c r="C6" i="10"/>
  <c r="C8" i="10" s="1"/>
  <c r="B34" i="9"/>
  <c r="B33" i="9"/>
  <c r="B32" i="9"/>
  <c r="B31" i="9"/>
  <c r="C26" i="9"/>
  <c r="C25" i="9"/>
  <c r="C24" i="9"/>
  <c r="C23" i="9"/>
  <c r="C22" i="9"/>
  <c r="C21" i="9"/>
  <c r="C20" i="9"/>
  <c r="C19" i="9"/>
  <c r="C18" i="9"/>
  <c r="C17" i="9"/>
  <c r="C16" i="9"/>
  <c r="C15" i="9"/>
  <c r="C14" i="9"/>
  <c r="B8" i="9"/>
  <c r="B7" i="9"/>
  <c r="B6" i="9"/>
  <c r="B55" i="8"/>
  <c r="F55" i="8" s="1"/>
  <c r="F54" i="8"/>
  <c r="B54" i="8"/>
  <c r="F53" i="8"/>
  <c r="B53" i="8"/>
  <c r="F52" i="8"/>
  <c r="B52" i="8"/>
  <c r="B51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34" i="8" s="1"/>
  <c r="C15" i="8"/>
  <c r="C10" i="8"/>
  <c r="B10" i="8"/>
  <c r="C9" i="8"/>
  <c r="B9" i="8"/>
  <c r="C8" i="8"/>
  <c r="B8" i="8"/>
  <c r="C7" i="8"/>
  <c r="B7" i="8"/>
  <c r="C6" i="8"/>
  <c r="B6" i="8"/>
  <c r="B11" i="8" s="1"/>
  <c r="C42" i="6"/>
  <c r="B42" i="6"/>
  <c r="B37" i="6"/>
  <c r="B36" i="6"/>
  <c r="B35" i="6"/>
  <c r="Y201" i="5"/>
  <c r="W201" i="5"/>
  <c r="F71" i="10" s="1"/>
  <c r="T201" i="5"/>
  <c r="S201" i="5"/>
  <c r="C201" i="5"/>
  <c r="D201" i="5" s="1"/>
  <c r="Y200" i="5"/>
  <c r="T200" i="5"/>
  <c r="S200" i="5"/>
  <c r="C200" i="5"/>
  <c r="D200" i="5" s="1"/>
  <c r="Y199" i="5"/>
  <c r="W199" i="5"/>
  <c r="T199" i="5"/>
  <c r="S199" i="5"/>
  <c r="C199" i="5"/>
  <c r="D199" i="5" s="1"/>
  <c r="Y198" i="5"/>
  <c r="W198" i="5"/>
  <c r="T198" i="5"/>
  <c r="U198" i="5" s="1"/>
  <c r="S198" i="5"/>
  <c r="D198" i="5"/>
  <c r="C198" i="5"/>
  <c r="Y197" i="5"/>
  <c r="X197" i="5"/>
  <c r="V197" i="5"/>
  <c r="U197" i="5"/>
  <c r="T197" i="5"/>
  <c r="S197" i="5"/>
  <c r="W197" i="5" s="1"/>
  <c r="C197" i="5"/>
  <c r="D197" i="5" s="1"/>
  <c r="Y196" i="5"/>
  <c r="W196" i="5"/>
  <c r="V196" i="5"/>
  <c r="U196" i="5"/>
  <c r="X196" i="5" s="1"/>
  <c r="T196" i="5"/>
  <c r="S196" i="5"/>
  <c r="C196" i="5"/>
  <c r="D196" i="5" s="1"/>
  <c r="Y195" i="5"/>
  <c r="V195" i="5"/>
  <c r="T195" i="5"/>
  <c r="S195" i="5"/>
  <c r="U195" i="5" s="1"/>
  <c r="X195" i="5" s="1"/>
  <c r="G111" i="10" s="1"/>
  <c r="D195" i="5"/>
  <c r="C195" i="5"/>
  <c r="Y194" i="5"/>
  <c r="T194" i="5"/>
  <c r="S194" i="5"/>
  <c r="D194" i="5"/>
  <c r="C194" i="5"/>
  <c r="Y193" i="5"/>
  <c r="W193" i="5"/>
  <c r="T193" i="5"/>
  <c r="S193" i="5"/>
  <c r="D193" i="5"/>
  <c r="C193" i="5"/>
  <c r="Y192" i="5"/>
  <c r="T192" i="5"/>
  <c r="S192" i="5"/>
  <c r="C192" i="5"/>
  <c r="D192" i="5" s="1"/>
  <c r="Y191" i="5"/>
  <c r="X191" i="5"/>
  <c r="W191" i="5"/>
  <c r="T191" i="5"/>
  <c r="S191" i="5"/>
  <c r="U191" i="5" s="1"/>
  <c r="D191" i="5"/>
  <c r="C191" i="5"/>
  <c r="Y190" i="5"/>
  <c r="X190" i="5"/>
  <c r="W190" i="5"/>
  <c r="T190" i="5"/>
  <c r="U190" i="5" s="1"/>
  <c r="V190" i="5" s="1"/>
  <c r="S190" i="5"/>
  <c r="D190" i="5"/>
  <c r="C190" i="5"/>
  <c r="Y189" i="5"/>
  <c r="W189" i="5"/>
  <c r="T189" i="5"/>
  <c r="U189" i="5" s="1"/>
  <c r="S189" i="5"/>
  <c r="C189" i="5"/>
  <c r="D189" i="5" s="1"/>
  <c r="Y188" i="5"/>
  <c r="W188" i="5"/>
  <c r="F56" i="10" s="1"/>
  <c r="T188" i="5"/>
  <c r="U188" i="5" s="1"/>
  <c r="S188" i="5"/>
  <c r="D188" i="5"/>
  <c r="C188" i="5"/>
  <c r="Y187" i="5"/>
  <c r="V187" i="5"/>
  <c r="U187" i="5"/>
  <c r="X187" i="5" s="1"/>
  <c r="T187" i="5"/>
  <c r="S187" i="5"/>
  <c r="W187" i="5" s="1"/>
  <c r="D187" i="5"/>
  <c r="C187" i="5"/>
  <c r="Y186" i="5"/>
  <c r="W186" i="5"/>
  <c r="V186" i="5"/>
  <c r="T186" i="5"/>
  <c r="S186" i="5"/>
  <c r="U186" i="5" s="1"/>
  <c r="X186" i="5" s="1"/>
  <c r="D186" i="5"/>
  <c r="C186" i="5"/>
  <c r="Y185" i="5"/>
  <c r="U185" i="5"/>
  <c r="X185" i="5" s="1"/>
  <c r="T185" i="5"/>
  <c r="S185" i="5"/>
  <c r="D185" i="5"/>
  <c r="C185" i="5"/>
  <c r="Y184" i="5"/>
  <c r="T184" i="5"/>
  <c r="S184" i="5"/>
  <c r="W184" i="5" s="1"/>
  <c r="D184" i="5"/>
  <c r="C184" i="5"/>
  <c r="Y183" i="5"/>
  <c r="U183" i="5"/>
  <c r="X183" i="5" s="1"/>
  <c r="T183" i="5"/>
  <c r="S183" i="5"/>
  <c r="W183" i="5" s="1"/>
  <c r="D183" i="5"/>
  <c r="C183" i="5"/>
  <c r="Y182" i="5"/>
  <c r="W182" i="5"/>
  <c r="T182" i="5"/>
  <c r="S182" i="5"/>
  <c r="D182" i="5"/>
  <c r="C182" i="5"/>
  <c r="Y181" i="5"/>
  <c r="X181" i="5"/>
  <c r="W181" i="5"/>
  <c r="T181" i="5"/>
  <c r="U181" i="5" s="1"/>
  <c r="V181" i="5" s="1"/>
  <c r="S181" i="5"/>
  <c r="C181" i="5"/>
  <c r="D181" i="5" s="1"/>
  <c r="Y180" i="5"/>
  <c r="W180" i="5"/>
  <c r="T180" i="5"/>
  <c r="U180" i="5" s="1"/>
  <c r="S180" i="5"/>
  <c r="D180" i="5"/>
  <c r="C180" i="5"/>
  <c r="Y179" i="5"/>
  <c r="U179" i="5"/>
  <c r="X179" i="5" s="1"/>
  <c r="T179" i="5"/>
  <c r="S179" i="5"/>
  <c r="C179" i="5"/>
  <c r="D179" i="5" s="1"/>
  <c r="Y178" i="5"/>
  <c r="T178" i="5"/>
  <c r="S178" i="5"/>
  <c r="D178" i="5"/>
  <c r="C178" i="5"/>
  <c r="Y177" i="5"/>
  <c r="T177" i="5"/>
  <c r="S177" i="5"/>
  <c r="D177" i="5"/>
  <c r="C177" i="5"/>
  <c r="Y176" i="5"/>
  <c r="X176" i="5"/>
  <c r="W176" i="5"/>
  <c r="T176" i="5"/>
  <c r="S176" i="5"/>
  <c r="U176" i="5" s="1"/>
  <c r="C176" i="5"/>
  <c r="D176" i="5" s="1"/>
  <c r="Y175" i="5"/>
  <c r="W175" i="5"/>
  <c r="T175" i="5"/>
  <c r="U175" i="5" s="1"/>
  <c r="S175" i="5"/>
  <c r="C175" i="5"/>
  <c r="D175" i="5" s="1"/>
  <c r="Y174" i="5"/>
  <c r="U174" i="5"/>
  <c r="X174" i="5" s="1"/>
  <c r="T174" i="5"/>
  <c r="S174" i="5"/>
  <c r="D174" i="5"/>
  <c r="C174" i="5"/>
  <c r="Y173" i="5"/>
  <c r="T173" i="5"/>
  <c r="S173" i="5"/>
  <c r="C173" i="5"/>
  <c r="D173" i="5" s="1"/>
  <c r="Y172" i="5"/>
  <c r="W172" i="5"/>
  <c r="T172" i="5"/>
  <c r="U172" i="5" s="1"/>
  <c r="V172" i="5" s="1"/>
  <c r="S172" i="5"/>
  <c r="C172" i="5"/>
  <c r="D172" i="5" s="1"/>
  <c r="Y171" i="5"/>
  <c r="X171" i="5"/>
  <c r="W171" i="5"/>
  <c r="T171" i="5"/>
  <c r="S171" i="5"/>
  <c r="U171" i="5" s="1"/>
  <c r="C171" i="5"/>
  <c r="D171" i="5" s="1"/>
  <c r="Y170" i="5"/>
  <c r="T170" i="5"/>
  <c r="S170" i="5"/>
  <c r="C170" i="5"/>
  <c r="D170" i="5" s="1"/>
  <c r="Y169" i="5"/>
  <c r="T169" i="5"/>
  <c r="S169" i="5"/>
  <c r="D169" i="5"/>
  <c r="C169" i="5"/>
  <c r="Y168" i="5"/>
  <c r="T168" i="5"/>
  <c r="S168" i="5"/>
  <c r="C168" i="5"/>
  <c r="D168" i="5" s="1"/>
  <c r="Y167" i="5"/>
  <c r="W167" i="5"/>
  <c r="V167" i="5"/>
  <c r="U167" i="5"/>
  <c r="X167" i="5" s="1"/>
  <c r="T167" i="5"/>
  <c r="S167" i="5"/>
  <c r="C167" i="5"/>
  <c r="D167" i="5" s="1"/>
  <c r="Y166" i="5"/>
  <c r="X166" i="5"/>
  <c r="W166" i="5"/>
  <c r="T166" i="5"/>
  <c r="S166" i="5"/>
  <c r="D166" i="5"/>
  <c r="C166" i="5"/>
  <c r="Y165" i="5"/>
  <c r="T165" i="5"/>
  <c r="S165" i="5"/>
  <c r="C165" i="5"/>
  <c r="D165" i="5" s="1"/>
  <c r="Y164" i="5"/>
  <c r="X164" i="5"/>
  <c r="W164" i="5"/>
  <c r="U164" i="5"/>
  <c r="V164" i="5" s="1"/>
  <c r="T164" i="5"/>
  <c r="S164" i="5"/>
  <c r="C164" i="5"/>
  <c r="D164" i="5" s="1"/>
  <c r="Y163" i="5"/>
  <c r="X163" i="5"/>
  <c r="W163" i="5"/>
  <c r="T163" i="5"/>
  <c r="S163" i="5"/>
  <c r="D163" i="5"/>
  <c r="C163" i="5"/>
  <c r="Y162" i="5"/>
  <c r="W162" i="5"/>
  <c r="T162" i="5"/>
  <c r="S162" i="5"/>
  <c r="C162" i="5"/>
  <c r="D162" i="5" s="1"/>
  <c r="Y161" i="5"/>
  <c r="T161" i="5"/>
  <c r="S161" i="5"/>
  <c r="W161" i="5" s="1"/>
  <c r="D161" i="5"/>
  <c r="C161" i="5"/>
  <c r="Y160" i="5"/>
  <c r="T160" i="5"/>
  <c r="S160" i="5"/>
  <c r="C160" i="5"/>
  <c r="D160" i="5" s="1"/>
  <c r="Y159" i="5"/>
  <c r="W159" i="5"/>
  <c r="U159" i="5"/>
  <c r="X159" i="5" s="1"/>
  <c r="T159" i="5"/>
  <c r="S159" i="5"/>
  <c r="C159" i="5"/>
  <c r="D159" i="5" s="1"/>
  <c r="Y158" i="5"/>
  <c r="W158" i="5"/>
  <c r="V158" i="5"/>
  <c r="T158" i="5"/>
  <c r="S158" i="5"/>
  <c r="U158" i="5" s="1"/>
  <c r="X158" i="5" s="1"/>
  <c r="D158" i="5"/>
  <c r="C158" i="5"/>
  <c r="Y157" i="5"/>
  <c r="W157" i="5"/>
  <c r="T157" i="5"/>
  <c r="S157" i="5"/>
  <c r="C157" i="5"/>
  <c r="D157" i="5" s="1"/>
  <c r="Y156" i="5"/>
  <c r="X156" i="5"/>
  <c r="W156" i="5"/>
  <c r="U156" i="5"/>
  <c r="V156" i="5" s="1"/>
  <c r="T156" i="5"/>
  <c r="S156" i="5"/>
  <c r="C156" i="5"/>
  <c r="D156" i="5" s="1"/>
  <c r="Y155" i="5"/>
  <c r="X155" i="5"/>
  <c r="W155" i="5"/>
  <c r="T155" i="5"/>
  <c r="S155" i="5"/>
  <c r="U155" i="5" s="1"/>
  <c r="C155" i="5"/>
  <c r="D155" i="5" s="1"/>
  <c r="Y154" i="5"/>
  <c r="W154" i="5"/>
  <c r="T154" i="5"/>
  <c r="S154" i="5"/>
  <c r="D154" i="5"/>
  <c r="C154" i="5"/>
  <c r="Y153" i="5"/>
  <c r="X153" i="5"/>
  <c r="W153" i="5"/>
  <c r="U153" i="5"/>
  <c r="T153" i="5"/>
  <c r="S153" i="5"/>
  <c r="D153" i="5"/>
  <c r="C153" i="5"/>
  <c r="Y152" i="5"/>
  <c r="X152" i="5"/>
  <c r="G72" i="10" s="1"/>
  <c r="V152" i="5"/>
  <c r="U152" i="5"/>
  <c r="T152" i="5"/>
  <c r="S152" i="5"/>
  <c r="W152" i="5" s="1"/>
  <c r="F72" i="10" s="1"/>
  <c r="C152" i="5"/>
  <c r="D152" i="5" s="1"/>
  <c r="Y151" i="5"/>
  <c r="W151" i="5"/>
  <c r="V151" i="5"/>
  <c r="U151" i="5"/>
  <c r="X151" i="5" s="1"/>
  <c r="T151" i="5"/>
  <c r="S151" i="5"/>
  <c r="C151" i="5"/>
  <c r="D151" i="5" s="1"/>
  <c r="Y150" i="5"/>
  <c r="W150" i="5"/>
  <c r="V150" i="5"/>
  <c r="U150" i="5"/>
  <c r="X150" i="5" s="1"/>
  <c r="T150" i="5"/>
  <c r="S150" i="5"/>
  <c r="D150" i="5"/>
  <c r="C150" i="5"/>
  <c r="Y149" i="5"/>
  <c r="X149" i="5"/>
  <c r="W149" i="5"/>
  <c r="V149" i="5"/>
  <c r="T149" i="5"/>
  <c r="S149" i="5"/>
  <c r="U149" i="5" s="1"/>
  <c r="C149" i="5"/>
  <c r="D149" i="5" s="1"/>
  <c r="Y148" i="5"/>
  <c r="W148" i="5"/>
  <c r="U148" i="5"/>
  <c r="V148" i="5" s="1"/>
  <c r="T148" i="5"/>
  <c r="S148" i="5"/>
  <c r="C148" i="5"/>
  <c r="D148" i="5" s="1"/>
  <c r="Y147" i="5"/>
  <c r="X147" i="5"/>
  <c r="U147" i="5"/>
  <c r="V147" i="5" s="1"/>
  <c r="T147" i="5"/>
  <c r="S147" i="5"/>
  <c r="W147" i="5" s="1"/>
  <c r="C147" i="5"/>
  <c r="D147" i="5" s="1"/>
  <c r="Y146" i="5"/>
  <c r="W146" i="5"/>
  <c r="T146" i="5"/>
  <c r="S146" i="5"/>
  <c r="C146" i="5"/>
  <c r="D146" i="5" s="1"/>
  <c r="Y145" i="5"/>
  <c r="X145" i="5"/>
  <c r="W145" i="5"/>
  <c r="U145" i="5"/>
  <c r="T145" i="5"/>
  <c r="S145" i="5"/>
  <c r="C145" i="5"/>
  <c r="D145" i="5" s="1"/>
  <c r="Y144" i="5"/>
  <c r="V144" i="5"/>
  <c r="U144" i="5"/>
  <c r="X144" i="5" s="1"/>
  <c r="T144" i="5"/>
  <c r="S144" i="5"/>
  <c r="W144" i="5" s="1"/>
  <c r="C144" i="5"/>
  <c r="D144" i="5" s="1"/>
  <c r="Y143" i="5"/>
  <c r="W143" i="5"/>
  <c r="U143" i="5"/>
  <c r="X143" i="5" s="1"/>
  <c r="T143" i="5"/>
  <c r="S143" i="5"/>
  <c r="C143" i="5"/>
  <c r="D143" i="5" s="1"/>
  <c r="Y142" i="5"/>
  <c r="X142" i="5"/>
  <c r="W142" i="5"/>
  <c r="U142" i="5"/>
  <c r="V142" i="5" s="1"/>
  <c r="T142" i="5"/>
  <c r="S142" i="5"/>
  <c r="D142" i="5"/>
  <c r="C142" i="5"/>
  <c r="Y141" i="5"/>
  <c r="V141" i="5"/>
  <c r="T141" i="5"/>
  <c r="S141" i="5"/>
  <c r="U141" i="5" s="1"/>
  <c r="X141" i="5" s="1"/>
  <c r="C141" i="5"/>
  <c r="D141" i="5" s="1"/>
  <c r="Y140" i="5"/>
  <c r="W140" i="5"/>
  <c r="T140" i="5"/>
  <c r="U140" i="5" s="1"/>
  <c r="V140" i="5" s="1"/>
  <c r="S140" i="5"/>
  <c r="D140" i="5"/>
  <c r="C140" i="5"/>
  <c r="Y139" i="5"/>
  <c r="T139" i="5"/>
  <c r="S139" i="5"/>
  <c r="D139" i="5"/>
  <c r="C139" i="5"/>
  <c r="Y138" i="5"/>
  <c r="T138" i="5"/>
  <c r="S138" i="5"/>
  <c r="C138" i="5"/>
  <c r="D138" i="5" s="1"/>
  <c r="Y137" i="5"/>
  <c r="T137" i="5"/>
  <c r="S137" i="5"/>
  <c r="D137" i="5"/>
  <c r="C137" i="5"/>
  <c r="Y136" i="5"/>
  <c r="T136" i="5"/>
  <c r="S136" i="5"/>
  <c r="C136" i="5"/>
  <c r="D136" i="5" s="1"/>
  <c r="Y135" i="5"/>
  <c r="T135" i="5"/>
  <c r="S135" i="5"/>
  <c r="D135" i="5"/>
  <c r="C135" i="5"/>
  <c r="Y134" i="5"/>
  <c r="X134" i="5"/>
  <c r="W134" i="5"/>
  <c r="T134" i="5"/>
  <c r="S134" i="5"/>
  <c r="D134" i="5"/>
  <c r="C134" i="5"/>
  <c r="Y133" i="5"/>
  <c r="X133" i="5"/>
  <c r="W133" i="5"/>
  <c r="T133" i="5"/>
  <c r="S133" i="5"/>
  <c r="C133" i="5"/>
  <c r="D133" i="5" s="1"/>
  <c r="Y132" i="5"/>
  <c r="W132" i="5"/>
  <c r="V132" i="5"/>
  <c r="U132" i="5"/>
  <c r="X132" i="5" s="1"/>
  <c r="T132" i="5"/>
  <c r="S132" i="5"/>
  <c r="D132" i="5"/>
  <c r="C132" i="5"/>
  <c r="Y131" i="5"/>
  <c r="W131" i="5"/>
  <c r="T131" i="5"/>
  <c r="S131" i="5"/>
  <c r="U131" i="5" s="1"/>
  <c r="D131" i="5"/>
  <c r="C131" i="5"/>
  <c r="Y130" i="5"/>
  <c r="W130" i="5"/>
  <c r="T130" i="5"/>
  <c r="S130" i="5"/>
  <c r="D130" i="5"/>
  <c r="C130" i="5"/>
  <c r="Y129" i="5"/>
  <c r="W129" i="5"/>
  <c r="T129" i="5"/>
  <c r="S129" i="5"/>
  <c r="D129" i="5"/>
  <c r="C129" i="5"/>
  <c r="Y128" i="5"/>
  <c r="T128" i="5"/>
  <c r="S128" i="5"/>
  <c r="W128" i="5" s="1"/>
  <c r="D128" i="5"/>
  <c r="C128" i="5"/>
  <c r="Y127" i="5"/>
  <c r="W127" i="5"/>
  <c r="T127" i="5"/>
  <c r="S127" i="5"/>
  <c r="U127" i="5" s="1"/>
  <c r="D127" i="5"/>
  <c r="C127" i="5"/>
  <c r="Y126" i="5"/>
  <c r="W126" i="5"/>
  <c r="U126" i="5"/>
  <c r="X126" i="5" s="1"/>
  <c r="T126" i="5"/>
  <c r="S126" i="5"/>
  <c r="V126" i="5" s="1"/>
  <c r="D126" i="5"/>
  <c r="C126" i="5"/>
  <c r="Y125" i="5"/>
  <c r="X125" i="5"/>
  <c r="W125" i="5"/>
  <c r="V125" i="5"/>
  <c r="U125" i="5"/>
  <c r="T125" i="5"/>
  <c r="S125" i="5"/>
  <c r="C125" i="5"/>
  <c r="D125" i="5" s="1"/>
  <c r="Y124" i="5"/>
  <c r="X124" i="5"/>
  <c r="W124" i="5"/>
  <c r="V124" i="5"/>
  <c r="U124" i="5"/>
  <c r="T124" i="5"/>
  <c r="S124" i="5"/>
  <c r="C124" i="5"/>
  <c r="D124" i="5" s="1"/>
  <c r="Y123" i="5"/>
  <c r="W123" i="5"/>
  <c r="V123" i="5"/>
  <c r="U123" i="5"/>
  <c r="X123" i="5" s="1"/>
  <c r="T123" i="5"/>
  <c r="S123" i="5"/>
  <c r="D123" i="5"/>
  <c r="C123" i="5"/>
  <c r="Y122" i="5"/>
  <c r="X122" i="5"/>
  <c r="W122" i="5"/>
  <c r="V122" i="5"/>
  <c r="T122" i="5"/>
  <c r="S122" i="5"/>
  <c r="U122" i="5" s="1"/>
  <c r="D122" i="5"/>
  <c r="C122" i="5"/>
  <c r="Y121" i="5"/>
  <c r="X121" i="5"/>
  <c r="W121" i="5"/>
  <c r="U121" i="5"/>
  <c r="T121" i="5"/>
  <c r="S121" i="5"/>
  <c r="D121" i="5"/>
  <c r="C121" i="5"/>
  <c r="Y120" i="5"/>
  <c r="X120" i="5"/>
  <c r="V120" i="5"/>
  <c r="U120" i="5"/>
  <c r="T120" i="5"/>
  <c r="S120" i="5"/>
  <c r="W120" i="5" s="1"/>
  <c r="D120" i="5"/>
  <c r="C120" i="5"/>
  <c r="Y119" i="5"/>
  <c r="W119" i="5"/>
  <c r="F75" i="10" s="1"/>
  <c r="V119" i="5"/>
  <c r="U119" i="5"/>
  <c r="X119" i="5" s="1"/>
  <c r="G75" i="10" s="1"/>
  <c r="T119" i="5"/>
  <c r="S119" i="5"/>
  <c r="D119" i="5"/>
  <c r="C119" i="5"/>
  <c r="Y118" i="5"/>
  <c r="X118" i="5"/>
  <c r="W118" i="5"/>
  <c r="V118" i="5"/>
  <c r="T118" i="5"/>
  <c r="S118" i="5"/>
  <c r="U118" i="5" s="1"/>
  <c r="D118" i="5"/>
  <c r="C118" i="5"/>
  <c r="Y117" i="5"/>
  <c r="X117" i="5"/>
  <c r="W117" i="5"/>
  <c r="F106" i="10" s="1"/>
  <c r="U117" i="5"/>
  <c r="T117" i="5"/>
  <c r="S117" i="5"/>
  <c r="D117" i="5"/>
  <c r="C117" i="5"/>
  <c r="Y116" i="5"/>
  <c r="X116" i="5"/>
  <c r="V116" i="5"/>
  <c r="U116" i="5"/>
  <c r="T116" i="5"/>
  <c r="S116" i="5"/>
  <c r="W116" i="5" s="1"/>
  <c r="D116" i="5"/>
  <c r="C116" i="5"/>
  <c r="Y115" i="5"/>
  <c r="W115" i="5"/>
  <c r="V115" i="5"/>
  <c r="U115" i="5"/>
  <c r="X115" i="5" s="1"/>
  <c r="T115" i="5"/>
  <c r="S115" i="5"/>
  <c r="D115" i="5"/>
  <c r="C115" i="5"/>
  <c r="Y114" i="5"/>
  <c r="W114" i="5"/>
  <c r="F100" i="10" s="1"/>
  <c r="T114" i="5"/>
  <c r="S114" i="5"/>
  <c r="D114" i="5"/>
  <c r="C114" i="5"/>
  <c r="Y113" i="5"/>
  <c r="W113" i="5"/>
  <c r="F67" i="10" s="1"/>
  <c r="T113" i="5"/>
  <c r="S113" i="5"/>
  <c r="C113" i="5"/>
  <c r="D113" i="5" s="1"/>
  <c r="Y112" i="5"/>
  <c r="W112" i="5"/>
  <c r="T112" i="5"/>
  <c r="U112" i="5" s="1"/>
  <c r="S112" i="5"/>
  <c r="C112" i="5"/>
  <c r="D112" i="5" s="1"/>
  <c r="Y111" i="5"/>
  <c r="X111" i="5"/>
  <c r="U111" i="5"/>
  <c r="V111" i="5" s="1"/>
  <c r="T111" i="5"/>
  <c r="S111" i="5"/>
  <c r="W111" i="5" s="1"/>
  <c r="D111" i="5"/>
  <c r="C111" i="5"/>
  <c r="Y110" i="5"/>
  <c r="W110" i="5"/>
  <c r="T110" i="5"/>
  <c r="S110" i="5"/>
  <c r="D110" i="5"/>
  <c r="C110" i="5"/>
  <c r="Y109" i="5"/>
  <c r="W109" i="5"/>
  <c r="U109" i="5"/>
  <c r="X109" i="5" s="1"/>
  <c r="T109" i="5"/>
  <c r="S109" i="5"/>
  <c r="D109" i="5"/>
  <c r="C109" i="5"/>
  <c r="Y108" i="5"/>
  <c r="U108" i="5"/>
  <c r="X108" i="5" s="1"/>
  <c r="T108" i="5"/>
  <c r="S108" i="5"/>
  <c r="W108" i="5" s="1"/>
  <c r="D108" i="5"/>
  <c r="C108" i="5"/>
  <c r="Y107" i="5"/>
  <c r="U107" i="5"/>
  <c r="X107" i="5" s="1"/>
  <c r="T107" i="5"/>
  <c r="S107" i="5"/>
  <c r="W107" i="5" s="1"/>
  <c r="D107" i="5"/>
  <c r="C107" i="5"/>
  <c r="Y106" i="5"/>
  <c r="T106" i="5"/>
  <c r="S106" i="5"/>
  <c r="U106" i="5" s="1"/>
  <c r="X106" i="5" s="1"/>
  <c r="D106" i="5"/>
  <c r="C106" i="5"/>
  <c r="Y105" i="5"/>
  <c r="T105" i="5"/>
  <c r="S105" i="5"/>
  <c r="C105" i="5"/>
  <c r="D105" i="5" s="1"/>
  <c r="Y104" i="5"/>
  <c r="X104" i="5"/>
  <c r="W104" i="5"/>
  <c r="T104" i="5"/>
  <c r="U104" i="5" s="1"/>
  <c r="V104" i="5" s="1"/>
  <c r="S104" i="5"/>
  <c r="D104" i="5"/>
  <c r="C104" i="5"/>
  <c r="Y103" i="5"/>
  <c r="U103" i="5"/>
  <c r="X103" i="5" s="1"/>
  <c r="T103" i="5"/>
  <c r="S103" i="5"/>
  <c r="W103" i="5" s="1"/>
  <c r="C103" i="5"/>
  <c r="D103" i="5" s="1"/>
  <c r="Y102" i="5"/>
  <c r="T102" i="5"/>
  <c r="S102" i="5"/>
  <c r="C102" i="5"/>
  <c r="D102" i="5" s="1"/>
  <c r="Y101" i="5"/>
  <c r="U101" i="5"/>
  <c r="X101" i="5" s="1"/>
  <c r="T101" i="5"/>
  <c r="S101" i="5"/>
  <c r="C101" i="5"/>
  <c r="D101" i="5" s="1"/>
  <c r="Y100" i="5"/>
  <c r="U100" i="5"/>
  <c r="X100" i="5" s="1"/>
  <c r="T100" i="5"/>
  <c r="S100" i="5"/>
  <c r="W100" i="5" s="1"/>
  <c r="F113" i="10" s="1"/>
  <c r="C100" i="5"/>
  <c r="D100" i="5" s="1"/>
  <c r="Y99" i="5"/>
  <c r="T99" i="5"/>
  <c r="S99" i="5"/>
  <c r="W99" i="5" s="1"/>
  <c r="C99" i="5"/>
  <c r="D99" i="5" s="1"/>
  <c r="Y98" i="5"/>
  <c r="W98" i="5"/>
  <c r="T98" i="5"/>
  <c r="U98" i="5" s="1"/>
  <c r="S98" i="5"/>
  <c r="D98" i="5"/>
  <c r="C98" i="5"/>
  <c r="Y97" i="5"/>
  <c r="W97" i="5"/>
  <c r="U97" i="5"/>
  <c r="X97" i="5" s="1"/>
  <c r="T97" i="5"/>
  <c r="S97" i="5"/>
  <c r="C97" i="5"/>
  <c r="D97" i="5" s="1"/>
  <c r="Y96" i="5"/>
  <c r="X96" i="5"/>
  <c r="W96" i="5"/>
  <c r="U96" i="5"/>
  <c r="V96" i="5" s="1"/>
  <c r="T96" i="5"/>
  <c r="S96" i="5"/>
  <c r="D96" i="5"/>
  <c r="C96" i="5"/>
  <c r="Y95" i="5"/>
  <c r="W95" i="5"/>
  <c r="F98" i="10" s="1"/>
  <c r="T95" i="5"/>
  <c r="S95" i="5"/>
  <c r="U95" i="5" s="1"/>
  <c r="D95" i="5"/>
  <c r="C95" i="5"/>
  <c r="Y94" i="5"/>
  <c r="X94" i="5"/>
  <c r="W94" i="5"/>
  <c r="T94" i="5"/>
  <c r="S94" i="5"/>
  <c r="U94" i="5" s="1"/>
  <c r="D94" i="5"/>
  <c r="C94" i="5"/>
  <c r="Y93" i="5"/>
  <c r="W93" i="5"/>
  <c r="F91" i="10" s="1"/>
  <c r="T93" i="5"/>
  <c r="S93" i="5"/>
  <c r="D93" i="5"/>
  <c r="C93" i="5"/>
  <c r="Y92" i="5"/>
  <c r="T92" i="5"/>
  <c r="S92" i="5"/>
  <c r="W92" i="5" s="1"/>
  <c r="D92" i="5"/>
  <c r="C92" i="5"/>
  <c r="Y91" i="5"/>
  <c r="W91" i="5"/>
  <c r="T91" i="5"/>
  <c r="S91" i="5"/>
  <c r="U91" i="5" s="1"/>
  <c r="D91" i="5"/>
  <c r="C91" i="5"/>
  <c r="Y90" i="5"/>
  <c r="W90" i="5"/>
  <c r="T90" i="5"/>
  <c r="S90" i="5"/>
  <c r="D90" i="5"/>
  <c r="C90" i="5"/>
  <c r="Y89" i="5"/>
  <c r="X89" i="5"/>
  <c r="U89" i="5"/>
  <c r="V89" i="5" s="1"/>
  <c r="T89" i="5"/>
  <c r="S89" i="5"/>
  <c r="W89" i="5" s="1"/>
  <c r="C89" i="5"/>
  <c r="D89" i="5" s="1"/>
  <c r="Y88" i="5"/>
  <c r="X88" i="5"/>
  <c r="W88" i="5"/>
  <c r="U88" i="5"/>
  <c r="V88" i="5" s="1"/>
  <c r="T88" i="5"/>
  <c r="S88" i="5"/>
  <c r="C88" i="5"/>
  <c r="D88" i="5" s="1"/>
  <c r="Y87" i="5"/>
  <c r="T87" i="5"/>
  <c r="S87" i="5"/>
  <c r="U87" i="5" s="1"/>
  <c r="X87" i="5" s="1"/>
  <c r="G88" i="10" s="1"/>
  <c r="C87" i="5"/>
  <c r="D87" i="5" s="1"/>
  <c r="Y86" i="5"/>
  <c r="T86" i="5"/>
  <c r="S86" i="5"/>
  <c r="U86" i="5" s="1"/>
  <c r="X86" i="5" s="1"/>
  <c r="C86" i="5"/>
  <c r="D86" i="5" s="1"/>
  <c r="Y85" i="5"/>
  <c r="T85" i="5"/>
  <c r="S85" i="5"/>
  <c r="W85" i="5" s="1"/>
  <c r="F58" i="10" s="1"/>
  <c r="C85" i="5"/>
  <c r="D85" i="5" s="1"/>
  <c r="Y84" i="5"/>
  <c r="T84" i="5"/>
  <c r="S84" i="5"/>
  <c r="W84" i="5" s="1"/>
  <c r="C84" i="5"/>
  <c r="D84" i="5" s="1"/>
  <c r="Y83" i="5"/>
  <c r="T83" i="5"/>
  <c r="S83" i="5"/>
  <c r="U83" i="5" s="1"/>
  <c r="X83" i="5" s="1"/>
  <c r="C83" i="5"/>
  <c r="D83" i="5" s="1"/>
  <c r="Y82" i="5"/>
  <c r="T82" i="5"/>
  <c r="S82" i="5"/>
  <c r="D82" i="5"/>
  <c r="C82" i="5"/>
  <c r="Y81" i="5"/>
  <c r="T81" i="5"/>
  <c r="S81" i="5"/>
  <c r="W81" i="5" s="1"/>
  <c r="C81" i="5"/>
  <c r="D81" i="5" s="1"/>
  <c r="Y80" i="5"/>
  <c r="W80" i="5"/>
  <c r="T80" i="5"/>
  <c r="U80" i="5" s="1"/>
  <c r="S80" i="5"/>
  <c r="C80" i="5"/>
  <c r="D80" i="5" s="1"/>
  <c r="Y79" i="5"/>
  <c r="W79" i="5"/>
  <c r="U79" i="5"/>
  <c r="X79" i="5" s="1"/>
  <c r="T79" i="5"/>
  <c r="S79" i="5"/>
  <c r="C79" i="5"/>
  <c r="D79" i="5" s="1"/>
  <c r="Y78" i="5"/>
  <c r="W78" i="5"/>
  <c r="T78" i="5"/>
  <c r="S78" i="5"/>
  <c r="C78" i="5"/>
  <c r="D78" i="5" s="1"/>
  <c r="Y77" i="5"/>
  <c r="W77" i="5"/>
  <c r="T77" i="5"/>
  <c r="U77" i="5" s="1"/>
  <c r="X77" i="5" s="1"/>
  <c r="S77" i="5"/>
  <c r="C77" i="5"/>
  <c r="D77" i="5" s="1"/>
  <c r="Y76" i="5"/>
  <c r="T76" i="5"/>
  <c r="U76" i="5" s="1"/>
  <c r="S76" i="5"/>
  <c r="W76" i="5" s="1"/>
  <c r="F65" i="10" s="1"/>
  <c r="C76" i="5"/>
  <c r="D76" i="5" s="1"/>
  <c r="Y75" i="5"/>
  <c r="T75" i="5"/>
  <c r="U75" i="5" s="1"/>
  <c r="S75" i="5"/>
  <c r="W75" i="5" s="1"/>
  <c r="C75" i="5"/>
  <c r="D75" i="5" s="1"/>
  <c r="Y74" i="5"/>
  <c r="X74" i="5"/>
  <c r="W74" i="5"/>
  <c r="U74" i="5"/>
  <c r="V74" i="5" s="1"/>
  <c r="T74" i="5"/>
  <c r="S74" i="5"/>
  <c r="D74" i="5"/>
  <c r="C74" i="5"/>
  <c r="Y73" i="5"/>
  <c r="W73" i="5"/>
  <c r="T73" i="5"/>
  <c r="S73" i="5"/>
  <c r="U73" i="5" s="1"/>
  <c r="C73" i="5"/>
  <c r="D73" i="5" s="1"/>
  <c r="Y72" i="5"/>
  <c r="X72" i="5"/>
  <c r="W72" i="5"/>
  <c r="V72" i="5"/>
  <c r="U72" i="5"/>
  <c r="T72" i="5"/>
  <c r="S72" i="5"/>
  <c r="D72" i="5"/>
  <c r="C72" i="5"/>
  <c r="Y71" i="5"/>
  <c r="W71" i="5"/>
  <c r="T71" i="5"/>
  <c r="S71" i="5"/>
  <c r="C71" i="5"/>
  <c r="D71" i="5" s="1"/>
  <c r="Y70" i="5"/>
  <c r="X70" i="5"/>
  <c r="W70" i="5"/>
  <c r="T70" i="5"/>
  <c r="S70" i="5"/>
  <c r="C70" i="5"/>
  <c r="D70" i="5" s="1"/>
  <c r="Y69" i="5"/>
  <c r="T69" i="5"/>
  <c r="S69" i="5"/>
  <c r="W69" i="5" s="1"/>
  <c r="C69" i="5"/>
  <c r="D69" i="5" s="1"/>
  <c r="Y68" i="5"/>
  <c r="X68" i="5"/>
  <c r="W68" i="5"/>
  <c r="U68" i="5"/>
  <c r="V68" i="5" s="1"/>
  <c r="T68" i="5"/>
  <c r="S68" i="5"/>
  <c r="C68" i="5"/>
  <c r="D68" i="5" s="1"/>
  <c r="Y67" i="5"/>
  <c r="W67" i="5"/>
  <c r="U67" i="5"/>
  <c r="X67" i="5" s="1"/>
  <c r="T67" i="5"/>
  <c r="S67" i="5"/>
  <c r="C67" i="5"/>
  <c r="D67" i="5" s="1"/>
  <c r="Y66" i="5"/>
  <c r="T66" i="5"/>
  <c r="S66" i="5"/>
  <c r="U66" i="5" s="1"/>
  <c r="X66" i="5" s="1"/>
  <c r="D66" i="5"/>
  <c r="C66" i="5"/>
  <c r="Y65" i="5"/>
  <c r="T65" i="5"/>
  <c r="S65" i="5"/>
  <c r="C65" i="5"/>
  <c r="D65" i="5" s="1"/>
  <c r="Y64" i="5"/>
  <c r="T64" i="5"/>
  <c r="S64" i="5"/>
  <c r="D64" i="5"/>
  <c r="C64" i="5"/>
  <c r="Y63" i="5"/>
  <c r="T63" i="5"/>
  <c r="S63" i="5"/>
  <c r="W63" i="5" s="1"/>
  <c r="D63" i="5"/>
  <c r="C63" i="5"/>
  <c r="Y62" i="5"/>
  <c r="T62" i="5"/>
  <c r="U62" i="5" s="1"/>
  <c r="S62" i="5"/>
  <c r="W62" i="5" s="1"/>
  <c r="C62" i="5"/>
  <c r="D62" i="5" s="1"/>
  <c r="Y61" i="5"/>
  <c r="X61" i="5"/>
  <c r="W61" i="5"/>
  <c r="U61" i="5"/>
  <c r="V61" i="5" s="1"/>
  <c r="T61" i="5"/>
  <c r="S61" i="5"/>
  <c r="D61" i="5"/>
  <c r="C61" i="5"/>
  <c r="Y60" i="5"/>
  <c r="W60" i="5"/>
  <c r="T60" i="5"/>
  <c r="S60" i="5"/>
  <c r="U60" i="5" s="1"/>
  <c r="D60" i="5"/>
  <c r="C60" i="5"/>
  <c r="Y59" i="5"/>
  <c r="W59" i="5"/>
  <c r="T59" i="5"/>
  <c r="S59" i="5"/>
  <c r="C59" i="5"/>
  <c r="D59" i="5" s="1"/>
  <c r="Y58" i="5"/>
  <c r="X58" i="5"/>
  <c r="W58" i="5"/>
  <c r="U58" i="5"/>
  <c r="V58" i="5" s="1"/>
  <c r="T58" i="5"/>
  <c r="S58" i="5"/>
  <c r="C58" i="5"/>
  <c r="D58" i="5" s="1"/>
  <c r="Y57" i="5"/>
  <c r="T57" i="5"/>
  <c r="S57" i="5"/>
  <c r="U57" i="5" s="1"/>
  <c r="X57" i="5" s="1"/>
  <c r="C57" i="5"/>
  <c r="D57" i="5" s="1"/>
  <c r="Y56" i="5"/>
  <c r="T56" i="5"/>
  <c r="S56" i="5"/>
  <c r="D56" i="5"/>
  <c r="C56" i="5"/>
  <c r="Y55" i="5"/>
  <c r="T55" i="5"/>
  <c r="S55" i="5"/>
  <c r="W55" i="5" s="1"/>
  <c r="F80" i="10" s="1"/>
  <c r="D55" i="5"/>
  <c r="C55" i="5"/>
  <c r="Y54" i="5"/>
  <c r="T54" i="5"/>
  <c r="U54" i="5" s="1"/>
  <c r="S54" i="5"/>
  <c r="W54" i="5" s="1"/>
  <c r="F76" i="10" s="1"/>
  <c r="C54" i="5"/>
  <c r="D54" i="5" s="1"/>
  <c r="Y53" i="5"/>
  <c r="W53" i="5"/>
  <c r="F69" i="10" s="1"/>
  <c r="U53" i="5"/>
  <c r="X53" i="5" s="1"/>
  <c r="G69" i="10" s="1"/>
  <c r="T53" i="5"/>
  <c r="S53" i="5"/>
  <c r="D53" i="5"/>
  <c r="C53" i="5"/>
  <c r="Y52" i="5"/>
  <c r="W52" i="5"/>
  <c r="T52" i="5"/>
  <c r="S52" i="5"/>
  <c r="U52" i="5" s="1"/>
  <c r="D52" i="5"/>
  <c r="C52" i="5"/>
  <c r="Y51" i="5"/>
  <c r="W51" i="5"/>
  <c r="T51" i="5"/>
  <c r="S51" i="5"/>
  <c r="C51" i="5"/>
  <c r="D51" i="5" s="1"/>
  <c r="Y50" i="5"/>
  <c r="X50" i="5"/>
  <c r="W50" i="5"/>
  <c r="U50" i="5"/>
  <c r="V50" i="5" s="1"/>
  <c r="T50" i="5"/>
  <c r="S50" i="5"/>
  <c r="C50" i="5"/>
  <c r="D50" i="5" s="1"/>
  <c r="Y49" i="5"/>
  <c r="T49" i="5"/>
  <c r="S49" i="5"/>
  <c r="U49" i="5" s="1"/>
  <c r="X49" i="5" s="1"/>
  <c r="C49" i="5"/>
  <c r="D49" i="5" s="1"/>
  <c r="Y48" i="5"/>
  <c r="T48" i="5"/>
  <c r="S48" i="5"/>
  <c r="D48" i="5"/>
  <c r="C48" i="5"/>
  <c r="Y47" i="5"/>
  <c r="T47" i="5"/>
  <c r="S47" i="5"/>
  <c r="W47" i="5" s="1"/>
  <c r="D47" i="5"/>
  <c r="C47" i="5"/>
  <c r="Y46" i="5"/>
  <c r="T46" i="5"/>
  <c r="U46" i="5" s="1"/>
  <c r="S46" i="5"/>
  <c r="W46" i="5" s="1"/>
  <c r="C46" i="5"/>
  <c r="D46" i="5" s="1"/>
  <c r="Y45" i="5"/>
  <c r="X45" i="5"/>
  <c r="W45" i="5"/>
  <c r="U45" i="5"/>
  <c r="V45" i="5" s="1"/>
  <c r="T45" i="5"/>
  <c r="S45" i="5"/>
  <c r="D45" i="5"/>
  <c r="C45" i="5"/>
  <c r="Y44" i="5"/>
  <c r="W44" i="5"/>
  <c r="T44" i="5"/>
  <c r="S44" i="5"/>
  <c r="U44" i="5" s="1"/>
  <c r="D44" i="5"/>
  <c r="C44" i="5"/>
  <c r="Y43" i="5"/>
  <c r="W43" i="5"/>
  <c r="F86" i="10" s="1"/>
  <c r="T43" i="5"/>
  <c r="S43" i="5"/>
  <c r="U43" i="5" s="1"/>
  <c r="C43" i="5"/>
  <c r="D43" i="5" s="1"/>
  <c r="Y42" i="5"/>
  <c r="X42" i="5"/>
  <c r="W42" i="5"/>
  <c r="U42" i="5"/>
  <c r="V42" i="5" s="1"/>
  <c r="T42" i="5"/>
  <c r="S42" i="5"/>
  <c r="C42" i="5"/>
  <c r="D42" i="5" s="1"/>
  <c r="Y41" i="5"/>
  <c r="T41" i="5"/>
  <c r="S41" i="5"/>
  <c r="U41" i="5" s="1"/>
  <c r="X41" i="5" s="1"/>
  <c r="C41" i="5"/>
  <c r="D41" i="5" s="1"/>
  <c r="Y40" i="5"/>
  <c r="T40" i="5"/>
  <c r="S40" i="5"/>
  <c r="D40" i="5"/>
  <c r="C40" i="5"/>
  <c r="Y39" i="5"/>
  <c r="T39" i="5"/>
  <c r="S39" i="5"/>
  <c r="W39" i="5" s="1"/>
  <c r="D39" i="5"/>
  <c r="C39" i="5"/>
  <c r="Y38" i="5"/>
  <c r="T38" i="5"/>
  <c r="U38" i="5" s="1"/>
  <c r="S38" i="5"/>
  <c r="W38" i="5" s="1"/>
  <c r="C38" i="5"/>
  <c r="D38" i="5" s="1"/>
  <c r="Y37" i="5"/>
  <c r="W37" i="5"/>
  <c r="U37" i="5"/>
  <c r="X37" i="5" s="1"/>
  <c r="T37" i="5"/>
  <c r="S37" i="5"/>
  <c r="D37" i="5"/>
  <c r="C37" i="5"/>
  <c r="Y36" i="5"/>
  <c r="W36" i="5"/>
  <c r="F57" i="10" s="1"/>
  <c r="T36" i="5"/>
  <c r="S36" i="5"/>
  <c r="U36" i="5" s="1"/>
  <c r="D36" i="5"/>
  <c r="C36" i="5"/>
  <c r="Y35" i="5"/>
  <c r="W35" i="5"/>
  <c r="T35" i="5"/>
  <c r="S35" i="5"/>
  <c r="U35" i="5" s="1"/>
  <c r="C35" i="5"/>
  <c r="D35" i="5" s="1"/>
  <c r="Y34" i="5"/>
  <c r="X34" i="5"/>
  <c r="W34" i="5"/>
  <c r="U34" i="5"/>
  <c r="V34" i="5" s="1"/>
  <c r="T34" i="5"/>
  <c r="S34" i="5"/>
  <c r="C34" i="5"/>
  <c r="D34" i="5" s="1"/>
  <c r="Y33" i="5"/>
  <c r="T33" i="5"/>
  <c r="S33" i="5"/>
  <c r="U33" i="5" s="1"/>
  <c r="X33" i="5" s="1"/>
  <c r="C33" i="5"/>
  <c r="D33" i="5" s="1"/>
  <c r="Y32" i="5"/>
  <c r="T32" i="5"/>
  <c r="S32" i="5"/>
  <c r="D32" i="5"/>
  <c r="C32" i="5"/>
  <c r="Y31" i="5"/>
  <c r="T31" i="5"/>
  <c r="S31" i="5"/>
  <c r="W31" i="5" s="1"/>
  <c r="F60" i="10" s="1"/>
  <c r="D31" i="5"/>
  <c r="C31" i="5"/>
  <c r="Y30" i="5"/>
  <c r="X30" i="5"/>
  <c r="W30" i="5"/>
  <c r="T30" i="5"/>
  <c r="U30" i="5" s="1"/>
  <c r="V30" i="5" s="1"/>
  <c r="S30" i="5"/>
  <c r="C30" i="5"/>
  <c r="D30" i="5" s="1"/>
  <c r="Y29" i="5"/>
  <c r="W29" i="5"/>
  <c r="U29" i="5"/>
  <c r="X29" i="5" s="1"/>
  <c r="T29" i="5"/>
  <c r="S29" i="5"/>
  <c r="C29" i="5"/>
  <c r="D29" i="5" s="1"/>
  <c r="Y28" i="5"/>
  <c r="W28" i="5"/>
  <c r="T28" i="5"/>
  <c r="S28" i="5"/>
  <c r="U28" i="5" s="1"/>
  <c r="D28" i="5"/>
  <c r="C28" i="5"/>
  <c r="Y27" i="5"/>
  <c r="W27" i="5"/>
  <c r="F78" i="10" s="1"/>
  <c r="T27" i="5"/>
  <c r="S27" i="5"/>
  <c r="C27" i="5"/>
  <c r="D27" i="5" s="1"/>
  <c r="Y26" i="5"/>
  <c r="W26" i="5"/>
  <c r="T26" i="5"/>
  <c r="U26" i="5" s="1"/>
  <c r="X26" i="5" s="1"/>
  <c r="S26" i="5"/>
  <c r="V26" i="5" s="1"/>
  <c r="C26" i="5"/>
  <c r="D26" i="5" s="1"/>
  <c r="Y25" i="5"/>
  <c r="T25" i="5"/>
  <c r="S25" i="5"/>
  <c r="U25" i="5" s="1"/>
  <c r="X25" i="5" s="1"/>
  <c r="C25" i="5"/>
  <c r="D25" i="5" s="1"/>
  <c r="Y24" i="5"/>
  <c r="T24" i="5"/>
  <c r="S24" i="5"/>
  <c r="D24" i="5"/>
  <c r="C24" i="5"/>
  <c r="Y23" i="5"/>
  <c r="T23" i="5"/>
  <c r="S23" i="5"/>
  <c r="W23" i="5" s="1"/>
  <c r="D23" i="5"/>
  <c r="C23" i="5"/>
  <c r="Y22" i="5"/>
  <c r="T22" i="5"/>
  <c r="U22" i="5" s="1"/>
  <c r="S22" i="5"/>
  <c r="W22" i="5" s="1"/>
  <c r="C22" i="5"/>
  <c r="D22" i="5" s="1"/>
  <c r="Y21" i="5"/>
  <c r="W21" i="5"/>
  <c r="U21" i="5"/>
  <c r="X21" i="5" s="1"/>
  <c r="T21" i="5"/>
  <c r="S21" i="5"/>
  <c r="C21" i="5"/>
  <c r="D21" i="5" s="1"/>
  <c r="Y20" i="5"/>
  <c r="X20" i="5"/>
  <c r="W20" i="5"/>
  <c r="V20" i="5"/>
  <c r="U20" i="5"/>
  <c r="T20" i="5"/>
  <c r="S20" i="5"/>
  <c r="D20" i="5"/>
  <c r="C20" i="5"/>
  <c r="Y19" i="5"/>
  <c r="W19" i="5"/>
  <c r="T19" i="5"/>
  <c r="S19" i="5"/>
  <c r="C19" i="5"/>
  <c r="D19" i="5" s="1"/>
  <c r="Y18" i="5"/>
  <c r="W18" i="5"/>
  <c r="T18" i="5"/>
  <c r="U18" i="5" s="1"/>
  <c r="X18" i="5" s="1"/>
  <c r="S18" i="5"/>
  <c r="V18" i="5" s="1"/>
  <c r="C18" i="5"/>
  <c r="D18" i="5" s="1"/>
  <c r="Y17" i="5"/>
  <c r="T17" i="5"/>
  <c r="S17" i="5"/>
  <c r="U17" i="5" s="1"/>
  <c r="X17" i="5" s="1"/>
  <c r="C17" i="5"/>
  <c r="D17" i="5" s="1"/>
  <c r="Y16" i="5"/>
  <c r="T16" i="5"/>
  <c r="S16" i="5"/>
  <c r="D16" i="5"/>
  <c r="C16" i="5"/>
  <c r="Y15" i="5"/>
  <c r="T15" i="5"/>
  <c r="S15" i="5"/>
  <c r="W15" i="5" s="1"/>
  <c r="D15" i="5"/>
  <c r="C15" i="5"/>
  <c r="Y14" i="5"/>
  <c r="X14" i="5"/>
  <c r="W14" i="5"/>
  <c r="T14" i="5"/>
  <c r="U14" i="5" s="1"/>
  <c r="V14" i="5" s="1"/>
  <c r="S14" i="5"/>
  <c r="C14" i="5"/>
  <c r="D14" i="5" s="1"/>
  <c r="Y13" i="5"/>
  <c r="W13" i="5"/>
  <c r="U13" i="5"/>
  <c r="X13" i="5" s="1"/>
  <c r="T13" i="5"/>
  <c r="S13" i="5"/>
  <c r="C13" i="5"/>
  <c r="D13" i="5" s="1"/>
  <c r="Y12" i="5"/>
  <c r="X12" i="5"/>
  <c r="W12" i="5"/>
  <c r="V12" i="5"/>
  <c r="U12" i="5"/>
  <c r="T12" i="5"/>
  <c r="S12" i="5"/>
  <c r="D12" i="5"/>
  <c r="C12" i="5"/>
  <c r="Y11" i="5"/>
  <c r="X11" i="5"/>
  <c r="W11" i="5"/>
  <c r="T11" i="5"/>
  <c r="S11" i="5"/>
  <c r="C11" i="5"/>
  <c r="D11" i="5" s="1"/>
  <c r="Y10" i="5"/>
  <c r="W10" i="5"/>
  <c r="T10" i="5"/>
  <c r="U10" i="5" s="1"/>
  <c r="X10" i="5" s="1"/>
  <c r="S10" i="5"/>
  <c r="V10" i="5" s="1"/>
  <c r="C10" i="5"/>
  <c r="D10" i="5" s="1"/>
  <c r="Y9" i="5"/>
  <c r="T9" i="5"/>
  <c r="S9" i="5"/>
  <c r="U9" i="5" s="1"/>
  <c r="X9" i="5" s="1"/>
  <c r="C9" i="5"/>
  <c r="D9" i="5" s="1"/>
  <c r="Y8" i="5"/>
  <c r="T8" i="5"/>
  <c r="S8" i="5"/>
  <c r="D8" i="5"/>
  <c r="C8" i="5"/>
  <c r="Y7" i="5"/>
  <c r="T7" i="5"/>
  <c r="S7" i="5"/>
  <c r="W7" i="5" s="1"/>
  <c r="D7" i="5"/>
  <c r="C7" i="5"/>
  <c r="Y6" i="5"/>
  <c r="T6" i="5"/>
  <c r="U6" i="5" s="1"/>
  <c r="S6" i="5"/>
  <c r="W6" i="5" s="1"/>
  <c r="C6" i="5"/>
  <c r="D6" i="5" s="1"/>
  <c r="Y5" i="5"/>
  <c r="W5" i="5"/>
  <c r="U5" i="5"/>
  <c r="X5" i="5" s="1"/>
  <c r="T5" i="5"/>
  <c r="S5" i="5"/>
  <c r="C5" i="5"/>
  <c r="D5" i="5" s="1"/>
  <c r="Y4" i="5"/>
  <c r="X4" i="5"/>
  <c r="W4" i="5"/>
  <c r="V4" i="5"/>
  <c r="U4" i="5"/>
  <c r="T4" i="5"/>
  <c r="S4" i="5"/>
  <c r="D4" i="5"/>
  <c r="C4" i="5"/>
  <c r="Y3" i="5"/>
  <c r="W3" i="5"/>
  <c r="T3" i="5"/>
  <c r="S3" i="5"/>
  <c r="C3" i="5"/>
  <c r="D3" i="5" s="1"/>
  <c r="Y2" i="5"/>
  <c r="W2" i="5"/>
  <c r="T2" i="5"/>
  <c r="U2" i="5" s="1"/>
  <c r="X2" i="5" s="1"/>
  <c r="S2" i="5"/>
  <c r="V2" i="5" s="1"/>
  <c r="C2" i="5"/>
  <c r="C14" i="7" s="1"/>
  <c r="D28" i="4"/>
  <c r="F28" i="4" s="1"/>
  <c r="F27" i="4"/>
  <c r="D27" i="4"/>
  <c r="D26" i="4"/>
  <c r="F26" i="4" s="1"/>
  <c r="D24" i="4"/>
  <c r="F24" i="4" s="1"/>
  <c r="D18" i="4"/>
  <c r="D17" i="4"/>
  <c r="D20" i="4" s="1"/>
  <c r="D13" i="4"/>
  <c r="D12" i="4"/>
  <c r="D11" i="4"/>
  <c r="D10" i="4"/>
  <c r="D9" i="4"/>
  <c r="D8" i="4"/>
  <c r="D7" i="4"/>
  <c r="D6" i="4"/>
  <c r="X76" i="5" l="1"/>
  <c r="V76" i="5"/>
  <c r="G113" i="10"/>
  <c r="V131" i="5"/>
  <c r="X131" i="5"/>
  <c r="X91" i="5"/>
  <c r="V91" i="5"/>
  <c r="V95" i="5"/>
  <c r="X95" i="5"/>
  <c r="G98" i="10" s="1"/>
  <c r="X127" i="5"/>
  <c r="V127" i="5"/>
  <c r="X38" i="5"/>
  <c r="V38" i="5"/>
  <c r="X112" i="5"/>
  <c r="V112" i="5"/>
  <c r="I80" i="10"/>
  <c r="H80" i="10"/>
  <c r="X62" i="5"/>
  <c r="V62" i="5"/>
  <c r="V198" i="5"/>
  <c r="X198" i="5"/>
  <c r="X75" i="5"/>
  <c r="V75" i="5"/>
  <c r="V80" i="5"/>
  <c r="X80" i="5"/>
  <c r="X189" i="5"/>
  <c r="V189" i="5"/>
  <c r="I58" i="10"/>
  <c r="H58" i="10"/>
  <c r="X52" i="5"/>
  <c r="G55" i="10" s="1"/>
  <c r="V52" i="5"/>
  <c r="E50" i="9"/>
  <c r="X35" i="5"/>
  <c r="V35" i="5"/>
  <c r="X60" i="5"/>
  <c r="V60" i="5"/>
  <c r="V43" i="5"/>
  <c r="X43" i="5"/>
  <c r="F42" i="9"/>
  <c r="F61" i="10"/>
  <c r="D32" i="8"/>
  <c r="V27" i="5"/>
  <c r="X6" i="5"/>
  <c r="V6" i="5"/>
  <c r="X22" i="5"/>
  <c r="V22" i="5"/>
  <c r="X36" i="5"/>
  <c r="G57" i="10" s="1"/>
  <c r="V36" i="5"/>
  <c r="I76" i="10"/>
  <c r="H76" i="10"/>
  <c r="V73" i="5"/>
  <c r="X73" i="5"/>
  <c r="X98" i="5"/>
  <c r="V98" i="5"/>
  <c r="V180" i="5"/>
  <c r="X180" i="5"/>
  <c r="I60" i="10"/>
  <c r="H60" i="10"/>
  <c r="X46" i="5"/>
  <c r="V46" i="5"/>
  <c r="G96" i="10"/>
  <c r="F19" i="9"/>
  <c r="E19" i="8"/>
  <c r="X44" i="5"/>
  <c r="V44" i="5"/>
  <c r="G14" i="7"/>
  <c r="G101" i="10"/>
  <c r="F105" i="10"/>
  <c r="C42" i="9"/>
  <c r="X28" i="5"/>
  <c r="G109" i="10" s="1"/>
  <c r="V28" i="5"/>
  <c r="X54" i="5"/>
  <c r="G76" i="10" s="1"/>
  <c r="V54" i="5"/>
  <c r="X188" i="5"/>
  <c r="G56" i="10" s="1"/>
  <c r="V188" i="5"/>
  <c r="F82" i="10"/>
  <c r="I57" i="10"/>
  <c r="H57" i="10"/>
  <c r="V37" i="5"/>
  <c r="I69" i="10"/>
  <c r="H69" i="10"/>
  <c r="V79" i="5"/>
  <c r="W8" i="5"/>
  <c r="V9" i="5"/>
  <c r="W16" i="5"/>
  <c r="C8" i="9" s="1"/>
  <c r="V17" i="5"/>
  <c r="W24" i="5"/>
  <c r="D21" i="8" s="1"/>
  <c r="V25" i="5"/>
  <c r="W32" i="5"/>
  <c r="F85" i="10" s="1"/>
  <c r="V33" i="5"/>
  <c r="W40" i="5"/>
  <c r="V41" i="5"/>
  <c r="W48" i="5"/>
  <c r="F94" i="10" s="1"/>
  <c r="V49" i="5"/>
  <c r="W56" i="5"/>
  <c r="E49" i="9" s="1"/>
  <c r="V57" i="5"/>
  <c r="W64" i="5"/>
  <c r="W65" i="5"/>
  <c r="V66" i="5"/>
  <c r="W82" i="5"/>
  <c r="V83" i="5"/>
  <c r="W86" i="5"/>
  <c r="B42" i="9" s="1"/>
  <c r="V87" i="5"/>
  <c r="V93" i="5"/>
  <c r="W105" i="5"/>
  <c r="V106" i="5"/>
  <c r="X140" i="5"/>
  <c r="F20" i="9" s="1"/>
  <c r="W160" i="5"/>
  <c r="U160" i="5"/>
  <c r="X160" i="5" s="1"/>
  <c r="V166" i="5"/>
  <c r="U166" i="5"/>
  <c r="V183" i="5"/>
  <c r="H78" i="10"/>
  <c r="I78" i="10"/>
  <c r="D19" i="4"/>
  <c r="U3" i="5"/>
  <c r="X3" i="5" s="1"/>
  <c r="W9" i="5"/>
  <c r="U11" i="5"/>
  <c r="V11" i="5" s="1"/>
  <c r="W17" i="5"/>
  <c r="U19" i="5"/>
  <c r="X19" i="5" s="1"/>
  <c r="W25" i="5"/>
  <c r="D9" i="8" s="1"/>
  <c r="U27" i="5"/>
  <c r="X27" i="5" s="1"/>
  <c r="W33" i="5"/>
  <c r="F107" i="10" s="1"/>
  <c r="W41" i="5"/>
  <c r="D41" i="9" s="1"/>
  <c r="W49" i="5"/>
  <c r="U51" i="5"/>
  <c r="X51" i="5" s="1"/>
  <c r="E24" i="8" s="1"/>
  <c r="W57" i="5"/>
  <c r="D18" i="8" s="1"/>
  <c r="U59" i="5"/>
  <c r="X59" i="5" s="1"/>
  <c r="G59" i="10" s="1"/>
  <c r="W66" i="5"/>
  <c r="D40" i="9" s="1"/>
  <c r="V67" i="5"/>
  <c r="U69" i="5"/>
  <c r="X69" i="5" s="1"/>
  <c r="U71" i="5"/>
  <c r="X71" i="5" s="1"/>
  <c r="G66" i="10" s="1"/>
  <c r="W83" i="5"/>
  <c r="D23" i="8" s="1"/>
  <c r="W87" i="5"/>
  <c r="F88" i="10" s="1"/>
  <c r="U90" i="5"/>
  <c r="X90" i="5" s="1"/>
  <c r="F14" i="9" s="1"/>
  <c r="W106" i="5"/>
  <c r="V107" i="5"/>
  <c r="V108" i="5"/>
  <c r="U113" i="5"/>
  <c r="X113" i="5" s="1"/>
  <c r="G67" i="10" s="1"/>
  <c r="V117" i="5"/>
  <c r="V121" i="5"/>
  <c r="W137" i="5"/>
  <c r="F108" i="10" s="1"/>
  <c r="U137" i="5"/>
  <c r="X137" i="5" s="1"/>
  <c r="B38" i="6"/>
  <c r="C36" i="6" s="1"/>
  <c r="H86" i="10"/>
  <c r="I86" i="10"/>
  <c r="F93" i="10"/>
  <c r="D29" i="8"/>
  <c r="D21" i="9"/>
  <c r="D24" i="8"/>
  <c r="F89" i="10"/>
  <c r="F97" i="10"/>
  <c r="D14" i="9"/>
  <c r="F79" i="10"/>
  <c r="I65" i="10"/>
  <c r="H65" i="10"/>
  <c r="V77" i="5"/>
  <c r="U78" i="5"/>
  <c r="U92" i="5"/>
  <c r="U93" i="5"/>
  <c r="X93" i="5" s="1"/>
  <c r="G91" i="10" s="1"/>
  <c r="V94" i="5"/>
  <c r="U114" i="5"/>
  <c r="X114" i="5" s="1"/>
  <c r="G100" i="10" s="1"/>
  <c r="X148" i="5"/>
  <c r="U157" i="5"/>
  <c r="X157" i="5" s="1"/>
  <c r="V157" i="5"/>
  <c r="V160" i="5"/>
  <c r="U165" i="5"/>
  <c r="X165" i="5" s="1"/>
  <c r="W165" i="5"/>
  <c r="V165" i="5"/>
  <c r="U170" i="5"/>
  <c r="X170" i="5" s="1"/>
  <c r="W170" i="5"/>
  <c r="X172" i="5"/>
  <c r="W179" i="5"/>
  <c r="V179" i="5"/>
  <c r="U201" i="5"/>
  <c r="X201" i="5" s="1"/>
  <c r="G71" i="10" s="1"/>
  <c r="C34" i="7"/>
  <c r="D30" i="8"/>
  <c r="F64" i="10"/>
  <c r="E48" i="9"/>
  <c r="E51" i="9" s="1"/>
  <c r="C20" i="10"/>
  <c r="F87" i="10"/>
  <c r="I91" i="10"/>
  <c r="H91" i="10"/>
  <c r="I113" i="10"/>
  <c r="H113" i="10"/>
  <c r="V101" i="5"/>
  <c r="U102" i="5"/>
  <c r="G74" i="10"/>
  <c r="I67" i="10"/>
  <c r="H67" i="10"/>
  <c r="W136" i="5"/>
  <c r="F74" i="10" s="1"/>
  <c r="V136" i="5"/>
  <c r="U136" i="5"/>
  <c r="X136" i="5" s="1"/>
  <c r="W174" i="5"/>
  <c r="V174" i="5"/>
  <c r="X175" i="5"/>
  <c r="V175" i="5"/>
  <c r="V185" i="5"/>
  <c r="D11" i="7"/>
  <c r="C10" i="7"/>
  <c r="C17" i="7"/>
  <c r="C13" i="7"/>
  <c r="C6" i="7"/>
  <c r="D7" i="7"/>
  <c r="C12" i="7"/>
  <c r="G12" i="7" s="1"/>
  <c r="D10" i="7"/>
  <c r="C15" i="7"/>
  <c r="D8" i="7"/>
  <c r="C8" i="7"/>
  <c r="G8" i="7" s="1"/>
  <c r="C16" i="7"/>
  <c r="G16" i="7" s="1"/>
  <c r="D14" i="7"/>
  <c r="C9" i="7"/>
  <c r="C7" i="7"/>
  <c r="G7" i="7" s="1"/>
  <c r="D34" i="7"/>
  <c r="C32" i="7"/>
  <c r="C38" i="7"/>
  <c r="C37" i="7"/>
  <c r="C36" i="7"/>
  <c r="D35" i="7"/>
  <c r="C35" i="7"/>
  <c r="F35" i="7" s="1"/>
  <c r="C33" i="7"/>
  <c r="B40" i="9"/>
  <c r="C55" i="8"/>
  <c r="V5" i="5"/>
  <c r="F84" i="10"/>
  <c r="D26" i="8"/>
  <c r="V13" i="5"/>
  <c r="E41" i="9"/>
  <c r="V21" i="5"/>
  <c r="V29" i="5"/>
  <c r="V53" i="5"/>
  <c r="I98" i="10"/>
  <c r="H98" i="10"/>
  <c r="V97" i="5"/>
  <c r="I100" i="10"/>
  <c r="H100" i="10"/>
  <c r="I106" i="10"/>
  <c r="H106" i="10"/>
  <c r="F112" i="10"/>
  <c r="U130" i="5"/>
  <c r="X130" i="5" s="1"/>
  <c r="G97" i="10" s="1"/>
  <c r="V159" i="5"/>
  <c r="U163" i="5"/>
  <c r="V163" i="5" s="1"/>
  <c r="W169" i="5"/>
  <c r="U169" i="5"/>
  <c r="X169" i="5" s="1"/>
  <c r="U194" i="5"/>
  <c r="X194" i="5" s="1"/>
  <c r="H71" i="10"/>
  <c r="I71" i="10"/>
  <c r="F55" i="10"/>
  <c r="U99" i="5"/>
  <c r="X99" i="5" s="1"/>
  <c r="E15" i="8" s="1"/>
  <c r="I75" i="10"/>
  <c r="H75" i="10"/>
  <c r="U135" i="5"/>
  <c r="X135" i="5" s="1"/>
  <c r="V139" i="5"/>
  <c r="U139" i="5"/>
  <c r="X139" i="5" s="1"/>
  <c r="V155" i="5"/>
  <c r="U173" i="5"/>
  <c r="W173" i="5"/>
  <c r="U178" i="5"/>
  <c r="X178" i="5" s="1"/>
  <c r="W178" i="5"/>
  <c r="D42" i="9" s="1"/>
  <c r="V178" i="5"/>
  <c r="V193" i="5"/>
  <c r="U193" i="5"/>
  <c r="X193" i="5" s="1"/>
  <c r="C11" i="7"/>
  <c r="G11" i="7" s="1"/>
  <c r="D16" i="7"/>
  <c r="D2" i="5"/>
  <c r="G99" i="10"/>
  <c r="D22" i="8"/>
  <c r="D19" i="9"/>
  <c r="C41" i="9"/>
  <c r="C7" i="9"/>
  <c r="U7" i="5"/>
  <c r="X7" i="5" s="1"/>
  <c r="C17" i="10"/>
  <c r="G17" i="10" s="1"/>
  <c r="E42" i="9"/>
  <c r="U15" i="5"/>
  <c r="X15" i="5" s="1"/>
  <c r="E34" i="9" s="1"/>
  <c r="D20" i="9"/>
  <c r="B41" i="9"/>
  <c r="F54" i="10"/>
  <c r="D19" i="8"/>
  <c r="U23" i="5"/>
  <c r="X23" i="5" s="1"/>
  <c r="E8" i="7" s="1"/>
  <c r="U31" i="5"/>
  <c r="X31" i="5" s="1"/>
  <c r="G60" i="10" s="1"/>
  <c r="U39" i="5"/>
  <c r="X39" i="5" s="1"/>
  <c r="G77" i="10" s="1"/>
  <c r="U47" i="5"/>
  <c r="X47" i="5" s="1"/>
  <c r="E9" i="7" s="1"/>
  <c r="U55" i="5"/>
  <c r="X55" i="5" s="1"/>
  <c r="G80" i="10" s="1"/>
  <c r="U63" i="5"/>
  <c r="X63" i="5" s="1"/>
  <c r="U81" i="5"/>
  <c r="X81" i="5" s="1"/>
  <c r="G106" i="10"/>
  <c r="G112" i="10"/>
  <c r="B44" i="6"/>
  <c r="C44" i="6" s="1"/>
  <c r="V7" i="5"/>
  <c r="U8" i="5"/>
  <c r="X8" i="5" s="1"/>
  <c r="V15" i="5"/>
  <c r="U16" i="5"/>
  <c r="X16" i="5" s="1"/>
  <c r="U24" i="5"/>
  <c r="X24" i="5" s="1"/>
  <c r="G62" i="10" s="1"/>
  <c r="F81" i="10"/>
  <c r="V31" i="5"/>
  <c r="U32" i="5"/>
  <c r="X32" i="5" s="1"/>
  <c r="G85" i="10" s="1"/>
  <c r="U40" i="5"/>
  <c r="X40" i="5" s="1"/>
  <c r="E27" i="8" s="1"/>
  <c r="U48" i="5"/>
  <c r="X48" i="5" s="1"/>
  <c r="V55" i="5"/>
  <c r="U56" i="5"/>
  <c r="X56" i="5" s="1"/>
  <c r="E10" i="7" s="1"/>
  <c r="V63" i="5"/>
  <c r="U64" i="5"/>
  <c r="X64" i="5" s="1"/>
  <c r="U65" i="5"/>
  <c r="X65" i="5" s="1"/>
  <c r="V81" i="5"/>
  <c r="U82" i="5"/>
  <c r="X82" i="5" s="1"/>
  <c r="V100" i="5"/>
  <c r="W101" i="5"/>
  <c r="D24" i="6" s="1"/>
  <c r="W102" i="5"/>
  <c r="F90" i="10" s="1"/>
  <c r="V103" i="5"/>
  <c r="U105" i="5"/>
  <c r="X105" i="5" s="1"/>
  <c r="V109" i="5"/>
  <c r="U110" i="5"/>
  <c r="U128" i="5"/>
  <c r="U129" i="5"/>
  <c r="X129" i="5" s="1"/>
  <c r="V130" i="5"/>
  <c r="U133" i="5"/>
  <c r="V133" i="5" s="1"/>
  <c r="W141" i="5"/>
  <c r="F68" i="10" s="1"/>
  <c r="V143" i="5"/>
  <c r="U162" i="5"/>
  <c r="X162" i="5" s="1"/>
  <c r="G89" i="10" s="1"/>
  <c r="W168" i="5"/>
  <c r="D17" i="7" s="1"/>
  <c r="U168" i="5"/>
  <c r="X168" i="5" s="1"/>
  <c r="U182" i="5"/>
  <c r="U184" i="5"/>
  <c r="X184" i="5" s="1"/>
  <c r="W185" i="5"/>
  <c r="F59" i="10" s="1"/>
  <c r="W194" i="5"/>
  <c r="D25" i="9" s="1"/>
  <c r="W195" i="5"/>
  <c r="F111" i="10" s="1"/>
  <c r="W200" i="5"/>
  <c r="U200" i="5"/>
  <c r="X200" i="5" s="1"/>
  <c r="V200" i="5"/>
  <c r="E7" i="7"/>
  <c r="D12" i="7"/>
  <c r="G81" i="10"/>
  <c r="U70" i="5"/>
  <c r="V70" i="5" s="1"/>
  <c r="U84" i="5"/>
  <c r="X84" i="5" s="1"/>
  <c r="U85" i="5"/>
  <c r="X85" i="5" s="1"/>
  <c r="V86" i="5"/>
  <c r="G95" i="10"/>
  <c r="U134" i="5"/>
  <c r="V134" i="5" s="1"/>
  <c r="W135" i="5"/>
  <c r="D15" i="8" s="1"/>
  <c r="U138" i="5"/>
  <c r="X138" i="5" s="1"/>
  <c r="G102" i="10" s="1"/>
  <c r="W138" i="5"/>
  <c r="D37" i="7" s="1"/>
  <c r="V138" i="5"/>
  <c r="W139" i="5"/>
  <c r="D27" i="8" s="1"/>
  <c r="U161" i="5"/>
  <c r="X161" i="5" s="1"/>
  <c r="V171" i="5"/>
  <c r="V176" i="5"/>
  <c r="W177" i="5"/>
  <c r="D38" i="7" s="1"/>
  <c r="U177" i="5"/>
  <c r="X177" i="5" s="1"/>
  <c r="V184" i="5"/>
  <c r="V191" i="5"/>
  <c r="W192" i="5"/>
  <c r="U192" i="5"/>
  <c r="X192" i="5" s="1"/>
  <c r="G92" i="10" s="1"/>
  <c r="C11" i="8"/>
  <c r="F51" i="8"/>
  <c r="B56" i="8"/>
  <c r="F95" i="10"/>
  <c r="I72" i="10"/>
  <c r="H72" i="10"/>
  <c r="V153" i="5"/>
  <c r="U154" i="5"/>
  <c r="U199" i="5"/>
  <c r="V145" i="5"/>
  <c r="U146" i="5"/>
  <c r="I56" i="10"/>
  <c r="H56" i="10"/>
  <c r="B8" i="10"/>
  <c r="B21" i="10"/>
  <c r="I21" i="10"/>
  <c r="H21" i="10" s="1"/>
  <c r="G20" i="10"/>
  <c r="H8" i="11"/>
  <c r="B36" i="10"/>
  <c r="H20" i="10"/>
  <c r="B9" i="9"/>
  <c r="B35" i="9"/>
  <c r="H12" i="10"/>
  <c r="G27" i="8" l="1"/>
  <c r="F27" i="8"/>
  <c r="I74" i="10"/>
  <c r="H74" i="10"/>
  <c r="G21" i="8"/>
  <c r="F21" i="8"/>
  <c r="I108" i="10"/>
  <c r="H108" i="10"/>
  <c r="G42" i="9"/>
  <c r="I68" i="10"/>
  <c r="H68" i="10"/>
  <c r="G23" i="8"/>
  <c r="G8" i="9"/>
  <c r="I59" i="10"/>
  <c r="H59" i="10"/>
  <c r="I90" i="10"/>
  <c r="H90" i="10"/>
  <c r="G15" i="8"/>
  <c r="F15" i="8"/>
  <c r="I107" i="10"/>
  <c r="H107" i="10"/>
  <c r="D43" i="9"/>
  <c r="I84" i="10"/>
  <c r="H84" i="10"/>
  <c r="I87" i="10"/>
  <c r="H87" i="10"/>
  <c r="C53" i="8"/>
  <c r="X78" i="5"/>
  <c r="V78" i="5"/>
  <c r="G24" i="8"/>
  <c r="F24" i="8"/>
  <c r="E40" i="9"/>
  <c r="E43" i="9" s="1"/>
  <c r="B8" i="6"/>
  <c r="B5" i="11"/>
  <c r="G87" i="10"/>
  <c r="E20" i="10"/>
  <c r="D20" i="8"/>
  <c r="G54" i="10"/>
  <c r="D36" i="7"/>
  <c r="D24" i="9"/>
  <c r="V105" i="5"/>
  <c r="V114" i="5"/>
  <c r="G19" i="9"/>
  <c r="B10" i="6"/>
  <c r="I95" i="10"/>
  <c r="H95" i="10"/>
  <c r="D25" i="6"/>
  <c r="V168" i="5"/>
  <c r="G22" i="8"/>
  <c r="B43" i="9"/>
  <c r="F20" i="10"/>
  <c r="F66" i="10"/>
  <c r="B11" i="6"/>
  <c r="G29" i="8"/>
  <c r="B48" i="9"/>
  <c r="G18" i="8"/>
  <c r="F41" i="9"/>
  <c r="D49" i="9"/>
  <c r="F83" i="10"/>
  <c r="F104" i="10"/>
  <c r="C18" i="10"/>
  <c r="D33" i="8"/>
  <c r="F40" i="9"/>
  <c r="D16" i="9"/>
  <c r="I82" i="10"/>
  <c r="H82" i="10"/>
  <c r="F77" i="10"/>
  <c r="F21" i="9"/>
  <c r="D17" i="8"/>
  <c r="V16" i="5"/>
  <c r="C33" i="9"/>
  <c r="X146" i="5"/>
  <c r="E17" i="8" s="1"/>
  <c r="V146" i="5"/>
  <c r="B14" i="6"/>
  <c r="B15" i="6" s="1"/>
  <c r="D15" i="6" s="1"/>
  <c r="V177" i="5"/>
  <c r="V69" i="5"/>
  <c r="V128" i="5"/>
  <c r="X128" i="5"/>
  <c r="G84" i="10" s="1"/>
  <c r="V99" i="5"/>
  <c r="G94" i="10"/>
  <c r="V23" i="5"/>
  <c r="F102" i="10"/>
  <c r="G63" i="10"/>
  <c r="C49" i="9"/>
  <c r="B25" i="7"/>
  <c r="C26" i="7"/>
  <c r="C24" i="7"/>
  <c r="C25" i="7"/>
  <c r="D23" i="7"/>
  <c r="C23" i="7"/>
  <c r="B23" i="7"/>
  <c r="B26" i="7"/>
  <c r="B24" i="7"/>
  <c r="D25" i="4"/>
  <c r="F25" i="4" s="1"/>
  <c r="D24" i="7"/>
  <c r="F63" i="10"/>
  <c r="C32" i="9"/>
  <c r="D32" i="7"/>
  <c r="E6" i="7"/>
  <c r="F7" i="7"/>
  <c r="H8" i="7"/>
  <c r="D6" i="7"/>
  <c r="C34" i="9"/>
  <c r="C15" i="10"/>
  <c r="V170" i="5"/>
  <c r="D25" i="8"/>
  <c r="D26" i="6"/>
  <c r="C13" i="10"/>
  <c r="V137" i="5"/>
  <c r="I88" i="10"/>
  <c r="H88" i="10"/>
  <c r="C37" i="6"/>
  <c r="V19" i="5"/>
  <c r="E7" i="9"/>
  <c r="F7" i="9" s="1"/>
  <c r="G107" i="10"/>
  <c r="D22" i="9"/>
  <c r="F25" i="9"/>
  <c r="G25" i="9" s="1"/>
  <c r="D50" i="9"/>
  <c r="G86" i="10"/>
  <c r="V48" i="5"/>
  <c r="V135" i="5"/>
  <c r="D28" i="8"/>
  <c r="G17" i="7"/>
  <c r="X102" i="5"/>
  <c r="D51" i="8" s="1"/>
  <c r="V102" i="5"/>
  <c r="G30" i="8"/>
  <c r="B7" i="6"/>
  <c r="I111" i="10"/>
  <c r="H111" i="10"/>
  <c r="V162" i="5"/>
  <c r="X110" i="5"/>
  <c r="E28" i="8" s="1"/>
  <c r="V110" i="5"/>
  <c r="E20" i="8"/>
  <c r="V47" i="5"/>
  <c r="G110" i="10"/>
  <c r="V85" i="5"/>
  <c r="C19" i="10"/>
  <c r="G108" i="10"/>
  <c r="E12" i="10"/>
  <c r="F96" i="10"/>
  <c r="H17" i="7"/>
  <c r="V194" i="5"/>
  <c r="C48" i="9"/>
  <c r="C51" i="9" s="1"/>
  <c r="F36" i="7"/>
  <c r="I16" i="7"/>
  <c r="H15" i="7"/>
  <c r="G10" i="7"/>
  <c r="F34" i="7"/>
  <c r="B49" i="9"/>
  <c r="B6" i="6"/>
  <c r="C31" i="9"/>
  <c r="C16" i="10"/>
  <c r="F101" i="10"/>
  <c r="D48" i="9"/>
  <c r="D15" i="9"/>
  <c r="C52" i="8"/>
  <c r="D31" i="8"/>
  <c r="D18" i="9"/>
  <c r="F70" i="10"/>
  <c r="I85" i="10"/>
  <c r="H85" i="10"/>
  <c r="I105" i="10"/>
  <c r="H105" i="10"/>
  <c r="G90" i="10"/>
  <c r="D16" i="8"/>
  <c r="D34" i="8" s="1"/>
  <c r="F73" i="10"/>
  <c r="E17" i="10"/>
  <c r="X173" i="5"/>
  <c r="V173" i="5"/>
  <c r="V129" i="5"/>
  <c r="F7" i="10"/>
  <c r="F99" i="10"/>
  <c r="F37" i="7"/>
  <c r="H11" i="7"/>
  <c r="F10" i="7"/>
  <c r="I12" i="7"/>
  <c r="D15" i="7"/>
  <c r="G15" i="7" s="1"/>
  <c r="I13" i="7"/>
  <c r="H12" i="7"/>
  <c r="B16" i="6"/>
  <c r="H79" i="10"/>
  <c r="I79" i="10"/>
  <c r="D8" i="8"/>
  <c r="B12" i="6"/>
  <c r="C6" i="9"/>
  <c r="E30" i="8"/>
  <c r="F30" i="8" s="1"/>
  <c r="V59" i="5"/>
  <c r="E16" i="10"/>
  <c r="V32" i="5"/>
  <c r="B50" i="9"/>
  <c r="V192" i="5"/>
  <c r="I61" i="10"/>
  <c r="H61" i="10"/>
  <c r="G82" i="10"/>
  <c r="V90" i="5"/>
  <c r="V71" i="5"/>
  <c r="G20" i="9"/>
  <c r="G105" i="10"/>
  <c r="E21" i="8"/>
  <c r="H13" i="7"/>
  <c r="I14" i="7"/>
  <c r="V39" i="5"/>
  <c r="F109" i="10"/>
  <c r="G26" i="8"/>
  <c r="D33" i="7"/>
  <c r="G21" i="9"/>
  <c r="F62" i="10"/>
  <c r="E31" i="8"/>
  <c r="E19" i="10"/>
  <c r="V3" i="5"/>
  <c r="G61" i="10"/>
  <c r="F10" i="8"/>
  <c r="E32" i="8"/>
  <c r="D42" i="4"/>
  <c r="F17" i="9"/>
  <c r="V65" i="5"/>
  <c r="I81" i="10"/>
  <c r="H81" i="10"/>
  <c r="X199" i="5"/>
  <c r="D55" i="8" s="1"/>
  <c r="E55" i="8" s="1"/>
  <c r="V199" i="5"/>
  <c r="X154" i="5"/>
  <c r="V154" i="5"/>
  <c r="G7" i="9"/>
  <c r="C40" i="9"/>
  <c r="C43" i="9" s="1"/>
  <c r="G19" i="8"/>
  <c r="F19" i="8"/>
  <c r="D7" i="8"/>
  <c r="B13" i="6"/>
  <c r="I112" i="10"/>
  <c r="H112" i="10"/>
  <c r="C14" i="10"/>
  <c r="C18" i="7"/>
  <c r="G6" i="7"/>
  <c r="G14" i="9"/>
  <c r="D27" i="6"/>
  <c r="D17" i="9"/>
  <c r="V161" i="5"/>
  <c r="G70" i="10"/>
  <c r="F18" i="9"/>
  <c r="G104" i="10"/>
  <c r="F16" i="9"/>
  <c r="E33" i="8"/>
  <c r="H54" i="10"/>
  <c r="I54" i="10"/>
  <c r="C51" i="8"/>
  <c r="H55" i="10"/>
  <c r="I55" i="10"/>
  <c r="D23" i="9"/>
  <c r="D6" i="8"/>
  <c r="F33" i="7"/>
  <c r="F38" i="7"/>
  <c r="D13" i="7"/>
  <c r="D9" i="7"/>
  <c r="G9" i="7" s="1"/>
  <c r="D7" i="10"/>
  <c r="V201" i="5"/>
  <c r="I97" i="10"/>
  <c r="H97" i="10"/>
  <c r="C54" i="8"/>
  <c r="D6" i="10"/>
  <c r="V84" i="5"/>
  <c r="D52" i="8"/>
  <c r="C12" i="10"/>
  <c r="V51" i="5"/>
  <c r="V24" i="5"/>
  <c r="G73" i="10"/>
  <c r="F22" i="9"/>
  <c r="D28" i="6"/>
  <c r="D10" i="8"/>
  <c r="C35" i="6"/>
  <c r="C38" i="6" s="1"/>
  <c r="V64" i="5"/>
  <c r="G68" i="10"/>
  <c r="V56" i="5"/>
  <c r="G58" i="10"/>
  <c r="X182" i="5"/>
  <c r="D53" i="8" s="1"/>
  <c r="V182" i="5"/>
  <c r="E23" i="8"/>
  <c r="F23" i="8" s="1"/>
  <c r="G41" i="9"/>
  <c r="F17" i="10"/>
  <c r="V169" i="5"/>
  <c r="C39" i="7"/>
  <c r="F32" i="7"/>
  <c r="F8" i="7"/>
  <c r="G13" i="7"/>
  <c r="I64" i="10"/>
  <c r="H64" i="10"/>
  <c r="X92" i="5"/>
  <c r="E12" i="7" s="1"/>
  <c r="F12" i="7" s="1"/>
  <c r="V92" i="5"/>
  <c r="I89" i="10"/>
  <c r="H89" i="10"/>
  <c r="D29" i="6"/>
  <c r="I93" i="10"/>
  <c r="H93" i="10"/>
  <c r="B9" i="6"/>
  <c r="D9" i="6" s="1"/>
  <c r="F92" i="10"/>
  <c r="D41" i="4" s="1"/>
  <c r="E41" i="4" s="1"/>
  <c r="F41" i="4" s="1"/>
  <c r="H94" i="10"/>
  <c r="I94" i="10"/>
  <c r="F110" i="10"/>
  <c r="C50" i="9"/>
  <c r="F15" i="9"/>
  <c r="F7" i="8"/>
  <c r="V113" i="5"/>
  <c r="F8" i="8"/>
  <c r="V8" i="5"/>
  <c r="V40" i="5"/>
  <c r="G32" i="8"/>
  <c r="F32" i="8"/>
  <c r="G93" i="10"/>
  <c r="V82" i="5"/>
  <c r="D35" i="4" l="1"/>
  <c r="E35" i="4" s="1"/>
  <c r="F35" i="4" s="1"/>
  <c r="E32" i="9"/>
  <c r="F49" i="9"/>
  <c r="F28" i="8"/>
  <c r="G28" i="8"/>
  <c r="I9" i="7"/>
  <c r="E18" i="8"/>
  <c r="F18" i="8" s="1"/>
  <c r="G64" i="10"/>
  <c r="C11" i="6"/>
  <c r="D54" i="8"/>
  <c r="D56" i="8" s="1"/>
  <c r="D8" i="10"/>
  <c r="H6" i="10"/>
  <c r="E6" i="10"/>
  <c r="I6" i="10"/>
  <c r="G18" i="9"/>
  <c r="E18" i="9"/>
  <c r="G13" i="10"/>
  <c r="F25" i="7"/>
  <c r="E24" i="7"/>
  <c r="I66" i="10"/>
  <c r="H66" i="10"/>
  <c r="G31" i="8"/>
  <c r="F31" i="8"/>
  <c r="E13" i="10"/>
  <c r="F13" i="10" s="1"/>
  <c r="G17" i="9"/>
  <c r="E52" i="8"/>
  <c r="F25" i="8"/>
  <c r="G25" i="8"/>
  <c r="G38" i="8" s="1"/>
  <c r="E22" i="8"/>
  <c r="F22" i="8" s="1"/>
  <c r="E14" i="7"/>
  <c r="F14" i="7" s="1"/>
  <c r="C13" i="6"/>
  <c r="G16" i="9"/>
  <c r="E5" i="11"/>
  <c r="E53" i="8"/>
  <c r="E25" i="8"/>
  <c r="C14" i="6"/>
  <c r="G8" i="8"/>
  <c r="E29" i="8"/>
  <c r="F29" i="8" s="1"/>
  <c r="G79" i="10"/>
  <c r="F19" i="10"/>
  <c r="G19" i="10"/>
  <c r="F20" i="8"/>
  <c r="G20" i="8"/>
  <c r="E15" i="7"/>
  <c r="E29" i="6"/>
  <c r="I10" i="7"/>
  <c r="G14" i="10"/>
  <c r="H110" i="10"/>
  <c r="I110" i="10"/>
  <c r="H9" i="7"/>
  <c r="E6" i="8"/>
  <c r="D11" i="8"/>
  <c r="E8" i="8" s="1"/>
  <c r="E31" i="9"/>
  <c r="C8" i="6"/>
  <c r="E18" i="10"/>
  <c r="F18" i="10" s="1"/>
  <c r="E6" i="9"/>
  <c r="E33" i="9"/>
  <c r="F33" i="9" s="1"/>
  <c r="C10" i="6"/>
  <c r="G15" i="9"/>
  <c r="F23" i="9"/>
  <c r="F26" i="9" s="1"/>
  <c r="B27" i="7"/>
  <c r="D26" i="7"/>
  <c r="E26" i="7" s="1"/>
  <c r="G33" i="9"/>
  <c r="F43" i="9"/>
  <c r="C16" i="6"/>
  <c r="H5" i="11"/>
  <c r="B8" i="11"/>
  <c r="E11" i="7"/>
  <c r="F11" i="7" s="1"/>
  <c r="I73" i="10"/>
  <c r="H73" i="10"/>
  <c r="G22" i="9"/>
  <c r="F6" i="10"/>
  <c r="F8" i="10" s="1"/>
  <c r="E54" i="8"/>
  <c r="H46" i="10"/>
  <c r="F24" i="9"/>
  <c r="G16" i="8"/>
  <c r="G44" i="8" s="1"/>
  <c r="C7" i="6"/>
  <c r="C21" i="10"/>
  <c r="F12" i="10"/>
  <c r="G12" i="10"/>
  <c r="E26" i="8"/>
  <c r="F26" i="8" s="1"/>
  <c r="E16" i="7"/>
  <c r="F16" i="7" s="1"/>
  <c r="B43" i="6"/>
  <c r="C43" i="6" s="1"/>
  <c r="G83" i="10"/>
  <c r="I99" i="10"/>
  <c r="H99" i="10"/>
  <c r="D51" i="9"/>
  <c r="I96" i="10"/>
  <c r="H96" i="10"/>
  <c r="G15" i="10"/>
  <c r="D39" i="7"/>
  <c r="E32" i="7"/>
  <c r="D25" i="7"/>
  <c r="E25" i="7" s="1"/>
  <c r="F33" i="8"/>
  <c r="G33" i="8"/>
  <c r="B51" i="9"/>
  <c r="F48" i="9"/>
  <c r="C9" i="6"/>
  <c r="I92" i="10"/>
  <c r="H92" i="10"/>
  <c r="I109" i="10"/>
  <c r="H109" i="10"/>
  <c r="E15" i="10"/>
  <c r="E21" i="10" s="1"/>
  <c r="G65" i="10"/>
  <c r="I101" i="10"/>
  <c r="H101" i="10"/>
  <c r="E16" i="8"/>
  <c r="F34" i="9"/>
  <c r="G34" i="9"/>
  <c r="G32" i="9"/>
  <c r="F32" i="9"/>
  <c r="K8" i="11"/>
  <c r="E23" i="7"/>
  <c r="C27" i="7"/>
  <c r="G23" i="7" s="1"/>
  <c r="F24" i="7"/>
  <c r="G17" i="8"/>
  <c r="F17" i="8"/>
  <c r="G18" i="10"/>
  <c r="G40" i="9"/>
  <c r="G43" i="9" s="1"/>
  <c r="G24" i="9"/>
  <c r="G10" i="8"/>
  <c r="E10" i="8"/>
  <c r="E14" i="10"/>
  <c r="F14" i="10" s="1"/>
  <c r="I11" i="7"/>
  <c r="H10" i="7"/>
  <c r="F9" i="7"/>
  <c r="G7" i="8"/>
  <c r="E7" i="8"/>
  <c r="F6" i="9"/>
  <c r="D6" i="9"/>
  <c r="C9" i="9"/>
  <c r="G6" i="9"/>
  <c r="C6" i="6"/>
  <c r="F16" i="10"/>
  <c r="D16" i="10"/>
  <c r="G16" i="10"/>
  <c r="E13" i="7"/>
  <c r="F13" i="7" s="1"/>
  <c r="C46" i="7"/>
  <c r="C44" i="7"/>
  <c r="I8" i="7"/>
  <c r="C47" i="7"/>
  <c r="H7" i="7"/>
  <c r="C45" i="7"/>
  <c r="F6" i="7"/>
  <c r="D18" i="7"/>
  <c r="H63" i="10"/>
  <c r="I63" i="10"/>
  <c r="D27" i="7"/>
  <c r="H102" i="10"/>
  <c r="I102" i="10"/>
  <c r="I104" i="10"/>
  <c r="H104" i="10"/>
  <c r="E36" i="7"/>
  <c r="E17" i="7"/>
  <c r="F17" i="7" s="1"/>
  <c r="F9" i="8"/>
  <c r="G9" i="8" s="1"/>
  <c r="G7" i="10"/>
  <c r="H7" i="10"/>
  <c r="E7" i="10"/>
  <c r="I7" i="10"/>
  <c r="F6" i="8"/>
  <c r="F11" i="8" s="1"/>
  <c r="D26" i="9"/>
  <c r="E16" i="9" s="1"/>
  <c r="E8" i="9"/>
  <c r="F8" i="9" s="1"/>
  <c r="C12" i="6"/>
  <c r="G78" i="10"/>
  <c r="I15" i="7"/>
  <c r="H14" i="7"/>
  <c r="C56" i="8"/>
  <c r="E51" i="8"/>
  <c r="H62" i="10"/>
  <c r="B29" i="10" s="1"/>
  <c r="I62" i="10"/>
  <c r="H43" i="10" s="1"/>
  <c r="F50" i="9"/>
  <c r="B17" i="6"/>
  <c r="B18" i="6" s="1"/>
  <c r="B19" i="6" s="1"/>
  <c r="D19" i="6" s="1"/>
  <c r="F15" i="7"/>
  <c r="H16" i="7"/>
  <c r="I17" i="7"/>
  <c r="H70" i="10"/>
  <c r="I70" i="10"/>
  <c r="F31" i="9"/>
  <c r="C35" i="9"/>
  <c r="D33" i="9" s="1"/>
  <c r="G31" i="9"/>
  <c r="F26" i="7"/>
  <c r="I77" i="10"/>
  <c r="H77" i="10"/>
  <c r="B30" i="10" s="1"/>
  <c r="I83" i="10"/>
  <c r="H83" i="10"/>
  <c r="D30" i="6"/>
  <c r="E24" i="6" s="1"/>
  <c r="F44" i="8" l="1"/>
  <c r="C44" i="8"/>
  <c r="D44" i="8" s="1"/>
  <c r="B44" i="8"/>
  <c r="C38" i="8"/>
  <c r="D38" i="8" s="1"/>
  <c r="B38" i="8"/>
  <c r="F38" i="8"/>
  <c r="D43" i="10"/>
  <c r="C43" i="10"/>
  <c r="B43" i="10"/>
  <c r="F43" i="10"/>
  <c r="G43" i="10" s="1"/>
  <c r="E43" i="10"/>
  <c r="G23" i="9"/>
  <c r="B32" i="10"/>
  <c r="G40" i="8"/>
  <c r="E34" i="8"/>
  <c r="F34" i="8" s="1"/>
  <c r="E38" i="7"/>
  <c r="E34" i="7"/>
  <c r="E37" i="7"/>
  <c r="E35" i="7"/>
  <c r="F21" i="10"/>
  <c r="D39" i="4"/>
  <c r="E39" i="4" s="1"/>
  <c r="F39" i="4" s="1"/>
  <c r="D17" i="10"/>
  <c r="D20" i="10"/>
  <c r="G21" i="10"/>
  <c r="H42" i="10"/>
  <c r="G25" i="7"/>
  <c r="H41" i="10"/>
  <c r="E22" i="9"/>
  <c r="E23" i="9"/>
  <c r="C30" i="10"/>
  <c r="G43" i="8"/>
  <c r="C46" i="10"/>
  <c r="F46" i="10"/>
  <c r="G46" i="10" s="1"/>
  <c r="E46" i="10"/>
  <c r="D46" i="10"/>
  <c r="B46" i="10"/>
  <c r="D18" i="10"/>
  <c r="G26" i="9"/>
  <c r="D37" i="4"/>
  <c r="E37" i="4" s="1"/>
  <c r="F37" i="4" s="1"/>
  <c r="E19" i="9"/>
  <c r="E20" i="9"/>
  <c r="E14" i="9"/>
  <c r="E21" i="9"/>
  <c r="E25" i="9"/>
  <c r="D36" i="4"/>
  <c r="E36" i="4" s="1"/>
  <c r="F36" i="4" s="1"/>
  <c r="D8" i="9"/>
  <c r="G9" i="9"/>
  <c r="D7" i="9"/>
  <c r="D32" i="9"/>
  <c r="F51" i="9"/>
  <c r="D15" i="10"/>
  <c r="F16" i="8"/>
  <c r="H49" i="10"/>
  <c r="E15" i="9"/>
  <c r="C32" i="10"/>
  <c r="C15" i="6"/>
  <c r="G46" i="8"/>
  <c r="G24" i="7"/>
  <c r="G27" i="7" s="1"/>
  <c r="E8" i="10"/>
  <c r="E25" i="6"/>
  <c r="D32" i="4"/>
  <c r="E32" i="4" s="1"/>
  <c r="F32" i="4" s="1"/>
  <c r="D9" i="9"/>
  <c r="F15" i="10"/>
  <c r="H40" i="10"/>
  <c r="E35" i="9"/>
  <c r="C29" i="10"/>
  <c r="F39" i="7"/>
  <c r="G45" i="8"/>
  <c r="E17" i="9"/>
  <c r="E33" i="7"/>
  <c r="C31" i="10"/>
  <c r="D14" i="10"/>
  <c r="D19" i="10"/>
  <c r="G41" i="8"/>
  <c r="G39" i="8"/>
  <c r="G8" i="10"/>
  <c r="D40" i="4"/>
  <c r="E40" i="4" s="1"/>
  <c r="F40" i="4" s="1"/>
  <c r="H8" i="10"/>
  <c r="I8" i="10"/>
  <c r="G26" i="7"/>
  <c r="H48" i="10"/>
  <c r="D31" i="9"/>
  <c r="D35" i="9" s="1"/>
  <c r="E24" i="9"/>
  <c r="H44" i="10"/>
  <c r="H47" i="10"/>
  <c r="G18" i="7"/>
  <c r="E9" i="9"/>
  <c r="F9" i="9" s="1"/>
  <c r="B31" i="10"/>
  <c r="B33" i="10" s="1"/>
  <c r="G6" i="8"/>
  <c r="G47" i="8"/>
  <c r="G42" i="8"/>
  <c r="D13" i="10"/>
  <c r="G6" i="10"/>
  <c r="E27" i="7"/>
  <c r="D33" i="4"/>
  <c r="E33" i="4" s="1"/>
  <c r="F33" i="4" s="1"/>
  <c r="E39" i="7"/>
  <c r="C17" i="6"/>
  <c r="C18" i="6"/>
  <c r="C19" i="6" s="1"/>
  <c r="E56" i="8"/>
  <c r="E28" i="6"/>
  <c r="F35" i="9"/>
  <c r="D38" i="4"/>
  <c r="E38" i="4" s="1"/>
  <c r="F38" i="4" s="1"/>
  <c r="G35" i="9"/>
  <c r="D34" i="9"/>
  <c r="D12" i="10"/>
  <c r="D21" i="10" s="1"/>
  <c r="H45" i="10"/>
  <c r="E27" i="6"/>
  <c r="E30" i="6" s="1"/>
  <c r="G11" i="8"/>
  <c r="D34" i="4"/>
  <c r="E34" i="4" s="1"/>
  <c r="F34" i="4" s="1"/>
  <c r="E9" i="8"/>
  <c r="E11" i="8" s="1"/>
  <c r="E18" i="7"/>
  <c r="F18" i="7" s="1"/>
  <c r="E26" i="6"/>
  <c r="E31" i="10" l="1"/>
  <c r="E29" i="10"/>
  <c r="E32" i="10"/>
  <c r="E30" i="10"/>
  <c r="B45" i="10"/>
  <c r="F45" i="10"/>
  <c r="G45" i="10" s="1"/>
  <c r="E45" i="10"/>
  <c r="D45" i="10"/>
  <c r="C45" i="10"/>
  <c r="F42" i="8"/>
  <c r="C42" i="8"/>
  <c r="D42" i="8" s="1"/>
  <c r="B42" i="8"/>
  <c r="B39" i="8"/>
  <c r="F39" i="8"/>
  <c r="C39" i="8"/>
  <c r="D39" i="8" s="1"/>
  <c r="E45" i="8" s="1"/>
  <c r="B40" i="8"/>
  <c r="F40" i="8"/>
  <c r="C40" i="8"/>
  <c r="D40" i="8" s="1"/>
  <c r="B47" i="8"/>
  <c r="F47" i="8"/>
  <c r="C47" i="8"/>
  <c r="D47" i="8" s="1"/>
  <c r="F41" i="8"/>
  <c r="C41" i="8"/>
  <c r="D41" i="8" s="1"/>
  <c r="B41" i="8"/>
  <c r="C33" i="10"/>
  <c r="E48" i="10"/>
  <c r="F48" i="10"/>
  <c r="G48" i="10" s="1"/>
  <c r="D48" i="10"/>
  <c r="C48" i="10"/>
  <c r="B48" i="10"/>
  <c r="E40" i="10"/>
  <c r="F40" i="10"/>
  <c r="D40" i="10"/>
  <c r="C40" i="10"/>
  <c r="B40" i="10"/>
  <c r="C46" i="8"/>
  <c r="D46" i="8" s="1"/>
  <c r="B46" i="8"/>
  <c r="F46" i="8"/>
  <c r="E26" i="9"/>
  <c r="F41" i="10"/>
  <c r="G41" i="10" s="1"/>
  <c r="B41" i="10"/>
  <c r="E41" i="10"/>
  <c r="D41" i="10"/>
  <c r="C41" i="10"/>
  <c r="E38" i="8"/>
  <c r="E39" i="8"/>
  <c r="C42" i="10"/>
  <c r="B42" i="10"/>
  <c r="F42" i="10"/>
  <c r="G42" i="10" s="1"/>
  <c r="E42" i="10"/>
  <c r="D42" i="10"/>
  <c r="D47" i="10"/>
  <c r="F47" i="10"/>
  <c r="G47" i="10" s="1"/>
  <c r="E47" i="10"/>
  <c r="C47" i="10"/>
  <c r="B47" i="10"/>
  <c r="E44" i="10"/>
  <c r="D44" i="10"/>
  <c r="C44" i="10"/>
  <c r="B44" i="10"/>
  <c r="F44" i="10"/>
  <c r="G44" i="10" s="1"/>
  <c r="F45" i="8"/>
  <c r="C45" i="8"/>
  <c r="D45" i="8" s="1"/>
  <c r="B45" i="8"/>
  <c r="F49" i="10"/>
  <c r="G49" i="10" s="1"/>
  <c r="B49" i="10"/>
  <c r="E49" i="10"/>
  <c r="D49" i="10"/>
  <c r="C49" i="10"/>
  <c r="B43" i="8"/>
  <c r="C43" i="8"/>
  <c r="D43" i="8" s="1"/>
  <c r="E43" i="8" s="1"/>
  <c r="F43" i="8"/>
  <c r="E44" i="8" l="1"/>
  <c r="E47" i="8"/>
  <c r="E46" i="8"/>
  <c r="E40" i="8"/>
  <c r="E41" i="8"/>
  <c r="F50" i="10"/>
  <c r="G40" i="10"/>
  <c r="G50" i="10" s="1"/>
  <c r="E33" i="10"/>
  <c r="E42" i="8"/>
  <c r="D31" i="10"/>
  <c r="D29" i="10"/>
  <c r="D30" i="10"/>
  <c r="D32" i="10"/>
  <c r="D33" i="10" l="1"/>
</calcChain>
</file>

<file path=xl/sharedStrings.xml><?xml version="1.0" encoding="utf-8"?>
<sst xmlns="http://schemas.openxmlformats.org/spreadsheetml/2006/main" count="5218" uniqueCount="661">
  <si>
    <t>STT</t>
  </si>
  <si>
    <t>Mã đơn hàng</t>
  </si>
  <si>
    <t>DH2025-0001</t>
  </si>
  <si>
    <t>Ngày đặt hàng</t>
  </si>
  <si>
    <t>Tháng</t>
  </si>
  <si>
    <t>Quý</t>
  </si>
  <si>
    <t>Q1</t>
  </si>
  <si>
    <t>Mã KH</t>
  </si>
  <si>
    <t>KH001</t>
  </si>
  <si>
    <t>Tên khách hàng</t>
  </si>
  <si>
    <t>Công ty CP Bình Minh</t>
  </si>
  <si>
    <t>Phân khúc</t>
  </si>
  <si>
    <t>Doanh nghiệp</t>
  </si>
  <si>
    <t>Khu vực</t>
  </si>
  <si>
    <t>Miền Nam</t>
  </si>
  <si>
    <t>Tỉnh/Thành</t>
  </si>
  <si>
    <t>Cần Thơ</t>
  </si>
  <si>
    <t>Danh mục</t>
  </si>
  <si>
    <t>Thời trang</t>
  </si>
  <si>
    <t>Sản phẩm</t>
  </si>
  <si>
    <t>Túi xách nữ</t>
  </si>
  <si>
    <t>Kênh bán</t>
  </si>
  <si>
    <t>Website</t>
  </si>
  <si>
    <t>Nhân viên bán hàng</t>
  </si>
  <si>
    <t>Trần Quốc Bảo</t>
  </si>
  <si>
    <t>Số lượng</t>
  </si>
  <si>
    <t>Đơn giá (VNĐ)</t>
  </si>
  <si>
    <t>Giảm giá %</t>
  </si>
  <si>
    <t>Giá vốn đơn vị (VNĐ)</t>
  </si>
  <si>
    <t>Trạng thái</t>
  </si>
  <si>
    <t>Hoàn thành</t>
  </si>
  <si>
    <t>Doanh thu (VNĐ)</t>
  </si>
  <si>
    <t>Tổng giá vốn (VNĐ)</t>
  </si>
  <si>
    <t>Lợi nhuận (VNĐ)</t>
  </si>
  <si>
    <t>Biên LN %</t>
  </si>
  <si>
    <t>Giảm giá</t>
  </si>
  <si>
    <t>Chú thích màu</t>
  </si>
  <si>
    <t>05/01/2025</t>
  </si>
  <si>
    <t>KH040</t>
  </si>
  <si>
    <t>Bùi Minh An</t>
  </si>
  <si>
    <t>Cá nhân</t>
  </si>
  <si>
    <t>Miền Bắc</t>
  </si>
  <si>
    <t>Quảng Ninh</t>
  </si>
  <si>
    <t>Mỹ phẩm</t>
  </si>
  <si>
    <t>Serum Vitamin C</t>
  </si>
  <si>
    <t>Ô vàng: ô có lỗi định dạng / thiếu giá trị</t>
  </si>
  <si>
    <t>DH2025-0002</t>
  </si>
  <si>
    <t xml:space="preserve"> Miền Bắc</t>
  </si>
  <si>
    <t>Son lì</t>
  </si>
  <si>
    <t>Phạm Đức Huy</t>
  </si>
  <si>
    <t>Dòng đỏ: dòng bị nhân đôi (trùng Mã đơn hàng)</t>
  </si>
  <si>
    <t>DH2025-0003</t>
  </si>
  <si>
    <t>KH046</t>
  </si>
  <si>
    <t>Phan Minh Khoa</t>
  </si>
  <si>
    <t>Điện tử</t>
  </si>
  <si>
    <t>Tai nghe Bluetooth</t>
  </si>
  <si>
    <t>Sàn TMĐT</t>
  </si>
  <si>
    <t>Lê Thu Hà</t>
  </si>
  <si>
    <t>Hoàn trả</t>
  </si>
  <si>
    <t>Dữ liệu mô phỏng, được cố ý chèn lỗi để minh họa bước làm sạch.</t>
  </si>
  <si>
    <t>DH2025-0004</t>
  </si>
  <si>
    <t>KH043</t>
  </si>
  <si>
    <t>Phạm Hoàng Giang</t>
  </si>
  <si>
    <t>Miền Trung</t>
  </si>
  <si>
    <t>Huế</t>
  </si>
  <si>
    <t>Gia dụng</t>
  </si>
  <si>
    <t>Ấm siêu tốc</t>
  </si>
  <si>
    <t>DH2025-0005</t>
  </si>
  <si>
    <t>KH008</t>
  </si>
  <si>
    <t>Hoàng Đức Trang</t>
  </si>
  <si>
    <t>Bình Dương</t>
  </si>
  <si>
    <t>Thực phẩm</t>
  </si>
  <si>
    <t>Trà thảo mộc hộp</t>
  </si>
  <si>
    <t>Cửa hàng</t>
  </si>
  <si>
    <t>DH2025-0006</t>
  </si>
  <si>
    <t>Loa thông minh</t>
  </si>
  <si>
    <t>Nguyễn Minh Anh</t>
  </si>
  <si>
    <t>DH2025-0007</t>
  </si>
  <si>
    <t>KH051</t>
  </si>
  <si>
    <t>Đỗ Minh Long</t>
  </si>
  <si>
    <t>Bắc Ninh</t>
  </si>
  <si>
    <t>Hạt dinh dưỡng mix</t>
  </si>
  <si>
    <t>Bùi Thanh Tùng</t>
  </si>
  <si>
    <t>DH2025-0008</t>
  </si>
  <si>
    <t>KH048</t>
  </si>
  <si>
    <t>Phạm Thị Quân</t>
  </si>
  <si>
    <t>Hải Phòng</t>
  </si>
  <si>
    <t>Cà phê rang xay 1kg</t>
  </si>
  <si>
    <t>Võ Ngọc Lan</t>
  </si>
  <si>
    <t>DH2025-0009</t>
  </si>
  <si>
    <t>KH054</t>
  </si>
  <si>
    <t>Phan Hoàng Bình</t>
  </si>
  <si>
    <t>Khánh Hòa</t>
  </si>
  <si>
    <t>Giày thể thao</t>
  </si>
  <si>
    <t>DH2025-0010</t>
  </si>
  <si>
    <t>KH011</t>
  </si>
  <si>
    <t>Áo khoác gió</t>
  </si>
  <si>
    <t>Đại lý</t>
  </si>
  <si>
    <t>Đã hủy</t>
  </si>
  <si>
    <t>DH2025-0011</t>
  </si>
  <si>
    <t>KH031</t>
  </si>
  <si>
    <t>Vũ Đức Hà</t>
  </si>
  <si>
    <t>DH2025-0012</t>
  </si>
  <si>
    <t>KH056</t>
  </si>
  <si>
    <t>Lê Anh Mai</t>
  </si>
  <si>
    <t>Đồng Nai</t>
  </si>
  <si>
    <t>Đặng Hoàng Nam</t>
  </si>
  <si>
    <t>DH2025-0013</t>
  </si>
  <si>
    <t>24/01/2025</t>
  </si>
  <si>
    <t>DH2025-0014</t>
  </si>
  <si>
    <t>KH055</t>
  </si>
  <si>
    <t>Công ty CP Sao Việt</t>
  </si>
  <si>
    <t>DH2025-0015</t>
  </si>
  <si>
    <t>KH057</t>
  </si>
  <si>
    <t>Huỳnh Thu Hải</t>
  </si>
  <si>
    <t>DH2025-0016</t>
  </si>
  <si>
    <t>DH2025-0017</t>
  </si>
  <si>
    <t>01/02/2025</t>
  </si>
  <si>
    <t>KH013</t>
  </si>
  <si>
    <t>Phan Đức Tuấn</t>
  </si>
  <si>
    <t>Áo thun nam</t>
  </si>
  <si>
    <t>DH2025-0018</t>
  </si>
  <si>
    <t>KH034</t>
  </si>
  <si>
    <t>Nguyễn Quốc Dũng</t>
  </si>
  <si>
    <t>DH2025-0019</t>
  </si>
  <si>
    <t>KH010</t>
  </si>
  <si>
    <t>Phan Thị Dũng</t>
  </si>
  <si>
    <t>Kem chống nắng</t>
  </si>
  <si>
    <t>DH2025-0020</t>
  </si>
  <si>
    <t>Phan Ngọc Quân</t>
  </si>
  <si>
    <t>Nghệ An</t>
  </si>
  <si>
    <t>Sạc dự phòng 20000mAh</t>
  </si>
  <si>
    <t>DH2025-0021</t>
  </si>
  <si>
    <t>KH020</t>
  </si>
  <si>
    <t>Hoàng Hoàng Long</t>
  </si>
  <si>
    <t>TP. Hồ Chí Minh</t>
  </si>
  <si>
    <t>Bàn phím cơ</t>
  </si>
  <si>
    <t>DH2025-0022</t>
  </si>
  <si>
    <t>KH052</t>
  </si>
  <si>
    <t>Vũ Thanh Châu</t>
  </si>
  <si>
    <t>Máy hút bụi mini</t>
  </si>
  <si>
    <t>DH2025-0023</t>
  </si>
  <si>
    <t>KH009</t>
  </si>
  <si>
    <t>Cửa hàng Tân Tiến</t>
  </si>
  <si>
    <t>DH2025-0024</t>
  </si>
  <si>
    <t>03/03/2025</t>
  </si>
  <si>
    <t>KH039</t>
  </si>
  <si>
    <t>Võ Thanh Hải</t>
  </si>
  <si>
    <t>DH2025-0025</t>
  </si>
  <si>
    <t>KH036</t>
  </si>
  <si>
    <t>Hoàng Thị Phúc</t>
  </si>
  <si>
    <t>DH2025-0026</t>
  </si>
  <si>
    <t>KH025</t>
  </si>
  <si>
    <t>Phạm Minh Phúc</t>
  </si>
  <si>
    <t>DH2025-0027</t>
  </si>
  <si>
    <t xml:space="preserve"> Miền Nam</t>
  </si>
  <si>
    <t>DH2025-0028</t>
  </si>
  <si>
    <t>KH049</t>
  </si>
  <si>
    <t>Phan Anh Quân</t>
  </si>
  <si>
    <t>Hoàng Mai Linh</t>
  </si>
  <si>
    <t>DH2025-0029</t>
  </si>
  <si>
    <t>KH028</t>
  </si>
  <si>
    <t>Công ty TNHH Lạc Hồng</t>
  </si>
  <si>
    <t>DH2025-0030</t>
  </si>
  <si>
    <t>KH007</t>
  </si>
  <si>
    <t>Công ty TNHH An Phát</t>
  </si>
  <si>
    <t>DH2025-0031</t>
  </si>
  <si>
    <t>KH032</t>
  </si>
  <si>
    <t>Nguyễn Hoàng Dũng</t>
  </si>
  <si>
    <t>DH2025-0032</t>
  </si>
  <si>
    <t>DH2025-0033</t>
  </si>
  <si>
    <t>KH044</t>
  </si>
  <si>
    <t>Công ty TNHH Đại Dương</t>
  </si>
  <si>
    <t>Hà Nội</t>
  </si>
  <si>
    <t>DH2025-0034</t>
  </si>
  <si>
    <t>KH029</t>
  </si>
  <si>
    <t>Đại lý Hải Âu</t>
  </si>
  <si>
    <t>DH2025-0035</t>
  </si>
  <si>
    <t>KH004</t>
  </si>
  <si>
    <t>Vũ Thị Giang</t>
  </si>
  <si>
    <t>DH2025-0036</t>
  </si>
  <si>
    <t>KH002</t>
  </si>
  <si>
    <t>Phan Minh Bình</t>
  </si>
  <si>
    <t>DH2025-0037</t>
  </si>
  <si>
    <t>DH2025-0038</t>
  </si>
  <si>
    <t>KH024</t>
  </si>
  <si>
    <t>Phạm Thu Hiếu</t>
  </si>
  <si>
    <t>DH2025-0039</t>
  </si>
  <si>
    <t>KH030</t>
  </si>
  <si>
    <t>Đặng Hoàng Hiếu</t>
  </si>
  <si>
    <t>DH2025-0040</t>
  </si>
  <si>
    <t>DH2025-0041</t>
  </si>
  <si>
    <t>DH2025-0042</t>
  </si>
  <si>
    <t>KH033</t>
  </si>
  <si>
    <t>Công ty TNHH Phương Nam</t>
  </si>
  <si>
    <t>DH2025-0043</t>
  </si>
  <si>
    <t>KH037</t>
  </si>
  <si>
    <t>Bùi Thị Lan</t>
  </si>
  <si>
    <t>DH2025-0044</t>
  </si>
  <si>
    <t>DH2025-0045</t>
  </si>
  <si>
    <t>DH2025-0046</t>
  </si>
  <si>
    <t>Máy xay sinh tố</t>
  </si>
  <si>
    <t>DH2025-0047</t>
  </si>
  <si>
    <t>KH041</t>
  </si>
  <si>
    <t>Đỗ Ngọc Hùng</t>
  </si>
  <si>
    <t>DH2025-0048</t>
  </si>
  <si>
    <t>DH2025-0049</t>
  </si>
  <si>
    <t>DH2025-0050</t>
  </si>
  <si>
    <t>DH2025-0051</t>
  </si>
  <si>
    <t>DH2025-0052</t>
  </si>
  <si>
    <t>KH016</t>
  </si>
  <si>
    <t>Phạm Minh Quân</t>
  </si>
  <si>
    <t>DH2025-0053</t>
  </si>
  <si>
    <t>KH023</t>
  </si>
  <si>
    <t>Bùi Thị Tuấn</t>
  </si>
  <si>
    <t>DH2025-0054</t>
  </si>
  <si>
    <t>KH027</t>
  </si>
  <si>
    <t>Trần Anh Linh</t>
  </si>
  <si>
    <t>DH2025-0055</t>
  </si>
  <si>
    <t>DH2025-0056</t>
  </si>
  <si>
    <t>Chuột không dây</t>
  </si>
  <si>
    <t>DH2025-0057</t>
  </si>
  <si>
    <t>KH026</t>
  </si>
  <si>
    <t>Lê Quốc An</t>
  </si>
  <si>
    <t>HOÀN THÀNH</t>
  </si>
  <si>
    <t>DH2025-0058</t>
  </si>
  <si>
    <t>KH006</t>
  </si>
  <si>
    <t>Bùi Quốc Khoa</t>
  </si>
  <si>
    <t>DH2025-0059</t>
  </si>
  <si>
    <t>miền bắc</t>
  </si>
  <si>
    <t>DH2025-0060</t>
  </si>
  <si>
    <t>DH2025-0061</t>
  </si>
  <si>
    <t>KH015</t>
  </si>
  <si>
    <t>Phạm Thị Mai</t>
  </si>
  <si>
    <t>DH2025-0062</t>
  </si>
  <si>
    <t>DH2025-0063</t>
  </si>
  <si>
    <t>KH017</t>
  </si>
  <si>
    <t>Hoàng Hoàng An</t>
  </si>
  <si>
    <t>Đà Nẵng</t>
  </si>
  <si>
    <t>DH2025-0064</t>
  </si>
  <si>
    <t>DH2025-0065</t>
  </si>
  <si>
    <t>DH2025-0066</t>
  </si>
  <si>
    <t>DH2025-0067</t>
  </si>
  <si>
    <t>DH2025-0068</t>
  </si>
  <si>
    <t xml:space="preserve">Túi xách nữ </t>
  </si>
  <si>
    <t>DH2025-0069</t>
  </si>
  <si>
    <t>DH2025-0070</t>
  </si>
  <si>
    <t>DH2025-0071</t>
  </si>
  <si>
    <t>DH2025-0072</t>
  </si>
  <si>
    <t>DH2025-0073</t>
  </si>
  <si>
    <t>17/06/2025</t>
  </si>
  <si>
    <t>DH2025-0074</t>
  </si>
  <si>
    <t xml:space="preserve">Loa thông minh </t>
  </si>
  <si>
    <t>DH2025-0075</t>
  </si>
  <si>
    <t>KH012</t>
  </si>
  <si>
    <t>Võ Minh Trang</t>
  </si>
  <si>
    <t>DH2025-0076</t>
  </si>
  <si>
    <t>DH2025-0077</t>
  </si>
  <si>
    <t>DH2025-0078</t>
  </si>
  <si>
    <t>DH2025-0079</t>
  </si>
  <si>
    <t>DH2025-0080</t>
  </si>
  <si>
    <t>DH2025-0081</t>
  </si>
  <si>
    <t>Nồi chiên không dầu</t>
  </si>
  <si>
    <t>DH2025-0082</t>
  </si>
  <si>
    <t>DH2025-0083</t>
  </si>
  <si>
    <t>DH2025-0084</t>
  </si>
  <si>
    <t>KH005</t>
  </si>
  <si>
    <t>Đỗ Văn Hạnh</t>
  </si>
  <si>
    <t>DH2025-0085</t>
  </si>
  <si>
    <t>02/07/2025</t>
  </si>
  <si>
    <t>DH2025-0086</t>
  </si>
  <si>
    <t>KH035</t>
  </si>
  <si>
    <t>Nguyễn Thu Hải</t>
  </si>
  <si>
    <t>miền nam</t>
  </si>
  <si>
    <t>DH2025-0087</t>
  </si>
  <si>
    <t>hoàn thành</t>
  </si>
  <si>
    <t>DH2025-0088</t>
  </si>
  <si>
    <t>DH2025-0089</t>
  </si>
  <si>
    <t>DH2025-0090</t>
  </si>
  <si>
    <t>DH2025-0091</t>
  </si>
  <si>
    <t>DH2025-0092</t>
  </si>
  <si>
    <t>KH038</t>
  </si>
  <si>
    <t>Cửa hàng Hoa Mai</t>
  </si>
  <si>
    <t>DH2025-0093</t>
  </si>
  <si>
    <t>DH2025-0094</t>
  </si>
  <si>
    <t>KH045</t>
  </si>
  <si>
    <t>Công ty TNHH Việt Tiến</t>
  </si>
  <si>
    <t>DH2025-0095</t>
  </si>
  <si>
    <t>DH2025-0096</t>
  </si>
  <si>
    <t>DH2025-0097</t>
  </si>
  <si>
    <t>DH2025-0098</t>
  </si>
  <si>
    <t>DH2025-0099</t>
  </si>
  <si>
    <t>KH060</t>
  </si>
  <si>
    <t>Hoàng Hoàng Châu</t>
  </si>
  <si>
    <t>DH2025-0100</t>
  </si>
  <si>
    <t>DH2025-0101</t>
  </si>
  <si>
    <t>DH2025-0102</t>
  </si>
  <si>
    <t>DH2025-0103</t>
  </si>
  <si>
    <t>DH2025-0104</t>
  </si>
  <si>
    <t>DH2025-0105</t>
  </si>
  <si>
    <t>DH2025-0106</t>
  </si>
  <si>
    <t>DH2025-0107</t>
  </si>
  <si>
    <t>DH2025-0108</t>
  </si>
  <si>
    <t>DH2025-0109</t>
  </si>
  <si>
    <t>DH2025-0110</t>
  </si>
  <si>
    <t>KH021</t>
  </si>
  <si>
    <t>Công ty CP Thành Công</t>
  </si>
  <si>
    <t>DH2025-0111</t>
  </si>
  <si>
    <t>DH2025-0112</t>
  </si>
  <si>
    <t>KH014</t>
  </si>
  <si>
    <t>Vũ Văn Dũng</t>
  </si>
  <si>
    <t>DH2025-0113</t>
  </si>
  <si>
    <t>KH047</t>
  </si>
  <si>
    <t>Công ty TNHH Kim Long</t>
  </si>
  <si>
    <t>DH2025-0114</t>
  </si>
  <si>
    <t>DH2025-0115</t>
  </si>
  <si>
    <t>DH2025-0116</t>
  </si>
  <si>
    <t>KH053</t>
  </si>
  <si>
    <t>Vũ Thanh Hạnh</t>
  </si>
  <si>
    <t>đã hủy</t>
  </si>
  <si>
    <t>DH2025-0117</t>
  </si>
  <si>
    <t xml:space="preserve">Kem chống nắng </t>
  </si>
  <si>
    <t>DH2025-0118</t>
  </si>
  <si>
    <t>KH022</t>
  </si>
  <si>
    <t>Trần Thu Quân</t>
  </si>
  <si>
    <t>DH2025-0119</t>
  </si>
  <si>
    <t>DH2025-0120</t>
  </si>
  <si>
    <t>KH059</t>
  </si>
  <si>
    <t>Siêu thị Minh Châu</t>
  </si>
  <si>
    <t>DH2025-0121</t>
  </si>
  <si>
    <t>DH2025-0122</t>
  </si>
  <si>
    <t>DH2025-0123</t>
  </si>
  <si>
    <t>DH2025-0124</t>
  </si>
  <si>
    <t xml:space="preserve">Tai nghe Bluetooth </t>
  </si>
  <si>
    <t>DH2025-0125</t>
  </si>
  <si>
    <t>DH2025-0126</t>
  </si>
  <si>
    <t>DH2025-0127</t>
  </si>
  <si>
    <t>DH2025-0128</t>
  </si>
  <si>
    <t>DH2025-0129</t>
  </si>
  <si>
    <t>DH2025-0130</t>
  </si>
  <si>
    <t>DH2025-0131</t>
  </si>
  <si>
    <t>KH042</t>
  </si>
  <si>
    <t>Vũ Thu Thảo</t>
  </si>
  <si>
    <t>DH2025-0132</t>
  </si>
  <si>
    <t>DH2025-0133</t>
  </si>
  <si>
    <t>DH2025-0134</t>
  </si>
  <si>
    <t>DH2025-0135</t>
  </si>
  <si>
    <t>DH2025-0136</t>
  </si>
  <si>
    <t>DH2025-0137</t>
  </si>
  <si>
    <t>DH2025-0138</t>
  </si>
  <si>
    <t>DH2025-0139</t>
  </si>
  <si>
    <t>DH2025-0140</t>
  </si>
  <si>
    <t>DH2025-0141</t>
  </si>
  <si>
    <t>DH2025-0142</t>
  </si>
  <si>
    <t>DH2025-0143</t>
  </si>
  <si>
    <t>DH2025-0144</t>
  </si>
  <si>
    <t>DH2025-0145</t>
  </si>
  <si>
    <t>DH2025-0146</t>
  </si>
  <si>
    <t>DH2025-0147</t>
  </si>
  <si>
    <t>DH2025-0148</t>
  </si>
  <si>
    <t>DH2025-0149</t>
  </si>
  <si>
    <t>DH2025-0150</t>
  </si>
  <si>
    <t>DH2025-0151</t>
  </si>
  <si>
    <t>KH019</t>
  </si>
  <si>
    <t>Vũ Thị An</t>
  </si>
  <si>
    <t>DH2025-0152</t>
  </si>
  <si>
    <t>DH2025-0153</t>
  </si>
  <si>
    <t>DH2025-0154</t>
  </si>
  <si>
    <t>DH2025-0155</t>
  </si>
  <si>
    <t>DH2025-0156</t>
  </si>
  <si>
    <t>DH2025-0157</t>
  </si>
  <si>
    <t>DH2025-0158</t>
  </si>
  <si>
    <t>DH2025-0159</t>
  </si>
  <si>
    <t>DH2025-0160</t>
  </si>
  <si>
    <t>DH2025-0161</t>
  </si>
  <si>
    <t>DH2025-0162</t>
  </si>
  <si>
    <t>DH2025-0163</t>
  </si>
  <si>
    <t>DH2025-0164</t>
  </si>
  <si>
    <t>DH2025-0165</t>
  </si>
  <si>
    <t>DH2025-0166</t>
  </si>
  <si>
    <t>DH2025-0167</t>
  </si>
  <si>
    <t>DH2025-0168</t>
  </si>
  <si>
    <t>DH2025-0169</t>
  </si>
  <si>
    <t>DH2025-0170</t>
  </si>
  <si>
    <t>DH2025-0171</t>
  </si>
  <si>
    <t>DH2025-0172</t>
  </si>
  <si>
    <t>DH2025-0173</t>
  </si>
  <si>
    <t>DH2025-0174</t>
  </si>
  <si>
    <t>Chuột  không dây</t>
  </si>
  <si>
    <t>DH2025-0175</t>
  </si>
  <si>
    <t>DH2025-0176</t>
  </si>
  <si>
    <t>DH2025-0177</t>
  </si>
  <si>
    <t>DH2025-0178</t>
  </si>
  <si>
    <t>DH2025-0179</t>
  </si>
  <si>
    <t>DH2025-0180</t>
  </si>
  <si>
    <t>DH2025-0181</t>
  </si>
  <si>
    <t>DH2025-0182</t>
  </si>
  <si>
    <t>DH2025-0183</t>
  </si>
  <si>
    <t>DH2025-0184</t>
  </si>
  <si>
    <t>DH2025-0185</t>
  </si>
  <si>
    <t>DH2025-0186</t>
  </si>
  <si>
    <t>DH2025-0187</t>
  </si>
  <si>
    <t>KH003</t>
  </si>
  <si>
    <t>Phan Thị Châu</t>
  </si>
  <si>
    <t>DH2025-0188</t>
  </si>
  <si>
    <t>DH2025-0189</t>
  </si>
  <si>
    <t>DH2025-0190</t>
  </si>
  <si>
    <t xml:space="preserve">Miền Nam </t>
  </si>
  <si>
    <t>DH2025-0191</t>
  </si>
  <si>
    <t>DH2025-0192</t>
  </si>
  <si>
    <t>DH2025-0193</t>
  </si>
  <si>
    <t>DH2025-0194</t>
  </si>
  <si>
    <t>KH058</t>
  </si>
  <si>
    <t>Nguyễn Đức Trang</t>
  </si>
  <si>
    <t xml:space="preserve">Miền Trung </t>
  </si>
  <si>
    <t>DH2025-0195</t>
  </si>
  <si>
    <t>DH2025-0196</t>
  </si>
  <si>
    <t>DH2025-0197</t>
  </si>
  <si>
    <t>DH2025-0198</t>
  </si>
  <si>
    <t>DH2025-0199</t>
  </si>
  <si>
    <t>DH2025-0200</t>
  </si>
  <si>
    <t>29/12/2025</t>
  </si>
  <si>
    <t>KH018</t>
  </si>
  <si>
    <t>Công ty CP Trường Sơn</t>
  </si>
  <si>
    <t>1. Nhật ký các vấn đề chất lượng dữ liệu và cách xử lý</t>
  </si>
  <si>
    <t>Vấn đề phát hiện</t>
  </si>
  <si>
    <t>Cột</t>
  </si>
  <si>
    <t>Số dòng ảnh hưởng</t>
  </si>
  <si>
    <t>Cách xử lý</t>
  </si>
  <si>
    <t>Mức độ</t>
  </si>
  <si>
    <t>Dòng trùng lặp (trùng Mã đơn hàng)</t>
  </si>
  <si>
    <t>Xóa dòng trùng, giữ 1 dòng duy nhất cho mỗi Mã đơn hàng</t>
  </si>
  <si>
    <t>Cao</t>
  </si>
  <si>
    <t>Ngày đặt hàng lưu dạng văn bản (dd/mm/yyyy)</t>
  </si>
  <si>
    <t>Chuyển văn bản sang kiểu ngày (DATE) để tính theo tháng/quý/thứ</t>
  </si>
  <si>
    <t>Tên khu vực viết hoa/thường lẫn lộn, thừa khoảng trắng</t>
  </si>
  <si>
    <t>Chuẩn hóa về 3 giá trị: Miền Bắc / Miền Trung / Miền Nam</t>
  </si>
  <si>
    <t>Trung bình</t>
  </si>
  <si>
    <t>Trạng thái đơn hàng sai chuẩn chính tả/viết hoa</t>
  </si>
  <si>
    <t>Chuẩn hóa về: Hoàn thành / Đã hủy / Hoàn trả</t>
  </si>
  <si>
    <t>Tên sản phẩm thừa khoảng trắng</t>
  </si>
  <si>
    <t>Dùng TRIM để xóa khoảng trắng thừa, tránh tách thành 2 sản phẩm khi thống kê</t>
  </si>
  <si>
    <t>Thiếu giá trị Kênh bán</t>
  </si>
  <si>
    <t>Điền giá trị xuất hiện nhiều nhất (Mode) = 'Website'</t>
  </si>
  <si>
    <t>Thiếu giá trị Nhân viên bán hàng</t>
  </si>
  <si>
    <t>Nhân viên</t>
  </si>
  <si>
    <t>Điền nhãn 'Chưa xác định' để không mất đơn hàng khỏi báo cáo</t>
  </si>
  <si>
    <t>Giảm giá nhập sai thang đo (10 thay vì 10%)</t>
  </si>
  <si>
    <t>Chia 100 các giá trị &gt; 1 để đưa về dạng phần trăm</t>
  </si>
  <si>
    <t>2. Tổng hợp trước và sau làm sạch</t>
  </si>
  <si>
    <t>Chỉ tiêu</t>
  </si>
  <si>
    <t>Giá trị</t>
  </si>
  <si>
    <t>Ghi chú</t>
  </si>
  <si>
    <t>Số dòng dữ liệu thô</t>
  </si>
  <si>
    <t>Sheet 'Dữ liệu thô'</t>
  </si>
  <si>
    <t>Số dòng sau làm sạch</t>
  </si>
  <si>
    <t>Sheet 'Dữ liệu sạch'</t>
  </si>
  <si>
    <t>Số dòng đã loại bỏ</t>
  </si>
  <si>
    <t>Chính là số dòng trùng lặp</t>
  </si>
  <si>
    <t>Tỷ lệ dữ liệu giữ lại</t>
  </si>
  <si>
    <t>Số dòng sạch / số dòng thô</t>
  </si>
  <si>
    <t>3. Kiểm tra chất lượng sau làm sạch (sheet 'Dữ liệu sạch')</t>
  </si>
  <si>
    <t>Tiêu chí kiểm tra</t>
  </si>
  <si>
    <t>Kết quả</t>
  </si>
  <si>
    <t>Kỳ vọng</t>
  </si>
  <si>
    <t>Số Mã đơn hàng bị trùng</t>
  </si>
  <si>
    <t>Số ô trống trong các cột bắt buộc (A:R)</t>
  </si>
  <si>
    <t>Số ngày đang ở dạng văn bản</t>
  </si>
  <si>
    <t>Số dòng có Giảm giá &gt; 100%</t>
  </si>
  <si>
    <t>Số dòng có Số lượng ≤ 0</t>
  </si>
  <si>
    <t>4. Kiểm tra chéo: tổng doanh thu thực ở các bảng phân tích phải khớp với Dữ liệu sạch</t>
  </si>
  <si>
    <t>Bảng phân tích</t>
  </si>
  <si>
    <t>Tổng doanh thu</t>
  </si>
  <si>
    <t>Chênh lệch so với dữ liệu gốc</t>
  </si>
  <si>
    <t>Doanh thu theo tháng</t>
  </si>
  <si>
    <t>Doanh thu theo quý</t>
  </si>
  <si>
    <t>Doanh thu theo danh mục</t>
  </si>
  <si>
    <t>Doanh thu theo sản phẩm</t>
  </si>
  <si>
    <t>Doanh thu theo khu vực</t>
  </si>
  <si>
    <t>Doanh thu theo tỉnh/thành</t>
  </si>
  <si>
    <t>Doanh thu theo kênh bán</t>
  </si>
  <si>
    <t>Doanh thu theo nhân viên</t>
  </si>
  <si>
    <t>Doanh thu theo phân khúc KH</t>
  </si>
  <si>
    <t>Doanh thu theo khách hàng</t>
  </si>
  <si>
    <t>Doanh thu thực toàn bộ dữ liệu sạch</t>
  </si>
  <si>
    <t>Doanh thu thực (đơn hoàn thành)</t>
  </si>
  <si>
    <t>Lợi nhuận thực (đơn hoàn thành)</t>
  </si>
  <si>
    <t>Thứ trong tuần (1=T2..7=CN)</t>
  </si>
  <si>
    <t>Chữ xanh: dữ liệu đầu vào (đã làm sạch). Chữ đen: công thức.</t>
  </si>
  <si>
    <t>Doanh thu = Số lượng × Đơn giá × (1 − Giảm giá).</t>
  </si>
  <si>
    <t>Lợi nhuận = Doanh thu − Số lượng × Giá vốn đơn vị.</t>
  </si>
  <si>
    <t>Cột W, X chỉ tính đơn 'Hoàn thành'; đơn hủy/hoàn trả để trống để không ảnh hưởng thống kê.</t>
  </si>
  <si>
    <t>Chưa xác định</t>
  </si>
  <si>
    <t>1. Thống kê mô tả giá trị đơn hàng</t>
  </si>
  <si>
    <t>Doanh thu / đơn (VNĐ)</t>
  </si>
  <si>
    <t>Lợi nhuận / đơn (VNĐ)</t>
  </si>
  <si>
    <t>Diễn giải</t>
  </si>
  <si>
    <t>Số quan sát (đơn hoàn thành)</t>
  </si>
  <si>
    <t>Tổng</t>
  </si>
  <si>
    <t>Trung vị</t>
  </si>
  <si>
    <t>Nhỏ nhất</t>
  </si>
  <si>
    <t>Tứ phân vị Q1 (25%)</t>
  </si>
  <si>
    <t>Tứ phân vị Q3 (75%)</t>
  </si>
  <si>
    <t>Lớn nhất</t>
  </si>
  <si>
    <t>Độ lệch chuẩn</t>
  </si>
  <si>
    <t>Hệ số biến thiên (CV)</t>
  </si>
  <si>
    <t>Độ lệch (Skewness)</t>
  </si>
  <si>
    <t>Khoảng tứ phân vị (IQR)</t>
  </si>
  <si>
    <t>Ngưỡng ngoại lai trên (Q3 + 1,5 × IQR)</t>
  </si>
  <si>
    <t>Số đơn ngoại lai</t>
  </si>
  <si>
    <t>2. Phân phối giá trị đơn hàng (histogram)</t>
  </si>
  <si>
    <t>Khoảng doanh thu / đơn</t>
  </si>
  <si>
    <t>Từ (≥, VNĐ)</t>
  </si>
  <si>
    <t>Đến (&lt;, VNĐ)</t>
  </si>
  <si>
    <t>Số đơn</t>
  </si>
  <si>
    <t>Tỷ lệ</t>
  </si>
  <si>
    <t>Dưới 500 nghìn</t>
  </si>
  <si>
    <t>500 nghìn – 1 triệu</t>
  </si>
  <si>
    <t>1 – 2 triệu</t>
  </si>
  <si>
    <t>2 – 5 triệu</t>
  </si>
  <si>
    <t>5 – 10 triệu</t>
  </si>
  <si>
    <t>Từ 10 triệu trở lên</t>
  </si>
  <si>
    <t>3. Cơ cấu trạng thái đơn hàng</t>
  </si>
  <si>
    <t>Nhận xét</t>
  </si>
  <si>
    <t>Đơn tạo ra doanh thu và lợi nhuận</t>
  </si>
  <si>
    <t>Đơn khách hủy trước khi giao</t>
  </si>
  <si>
    <t>Đơn đã giao nhưng khách trả lại</t>
  </si>
  <si>
    <t>4. Tương quan giữa các biến (tính trên toàn bộ 200 đơn)</t>
  </si>
  <si>
    <t>Cặp biến</t>
  </si>
  <si>
    <t>Hệ số tương quan r</t>
  </si>
  <si>
    <t>Giảm giá  ↔  Số lượng</t>
  </si>
  <si>
    <t>Giảm giá có kéo số lượng mua tăng không?</t>
  </si>
  <si>
    <t>Giảm giá  ↔  Biên lợi nhuận</t>
  </si>
  <si>
    <t>r âm: giảm giá càng sâu, biên lợi nhuận càng thấp</t>
  </si>
  <si>
    <t>Số lượng  ↔  Doanh thu</t>
  </si>
  <si>
    <t>Doanh thu phụ thuộc bao nhiêu vào số lượng mua</t>
  </si>
  <si>
    <t>1. Doanh thu theo tháng</t>
  </si>
  <si>
    <t>Số tháng</t>
  </si>
  <si>
    <t>Số đơn hoàn thành</t>
  </si>
  <si>
    <t>Biên LN</t>
  </si>
  <si>
    <t>Giá trị đơn TB (VNĐ)</t>
  </si>
  <si>
    <t>Tăng trưởng so tháng trước</t>
  </si>
  <si>
    <t>Doanh thu TB động 3 tháng</t>
  </si>
  <si>
    <t>Tháng 1</t>
  </si>
  <si>
    <t>–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</si>
  <si>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</si>
  <si>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</si>
  <si>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</si>
  <si>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</si>
  <si>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</si>
  <si>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</si>
  <si>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</si>
  <si>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</si>
  <si>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</si>
  <si>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</si>
  <si>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</si>
  <si>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Cả năm</t>
  </si>
  <si>
    <t>2. Doanh thu theo quý</t>
  </si>
  <si>
    <t>Tăng trưởng so quý trước</t>
  </si>
  <si>
    <t>Tỷ trọng doanh thu</t>
  </si>
  <si>
    <t>Q2</t>
  </si>
  <si>
    <t>Q3</t>
  </si>
  <si>
    <t>Q4</t>
  </si>
  <si>
    <t>3. Doanh thu theo thứ trong tuần</t>
  </si>
  <si>
    <t>Thứ</t>
  </si>
  <si>
    <t>Mã thứ (1=T2)</t>
  </si>
  <si>
    <t>Tỷ trọng</t>
  </si>
  <si>
    <t>Doanh thu TB / đơn (VNĐ)</t>
  </si>
  <si>
    <t>Thứ 2</t>
  </si>
  <si>
    <t>Thứ 3</t>
  </si>
  <si>
    <t>Thứ 4</t>
  </si>
  <si>
    <t>Thứ 5</t>
  </si>
  <si>
    <t>Thứ 6</t>
  </si>
  <si>
    <t>Thứ 7</t>
  </si>
  <si>
    <t>Chủ nhật</t>
  </si>
  <si>
    <t>4. Dự báo tham khảo 3 tháng đầu năm sau (hồi quy tuyến tính)</t>
  </si>
  <si>
    <t>Tháng dự báo</t>
  </si>
  <si>
    <t>x (số tháng)</t>
  </si>
  <si>
    <t>Doanh thu dự báo (VNĐ)</t>
  </si>
  <si>
    <t>Tháng 1/2026</t>
  </si>
  <si>
    <t>Tháng 2/2026</t>
  </si>
  <si>
    <t>Tháng 3/2026</t>
  </si>
  <si>
    <t>R² của mô hình</t>
  </si>
  <si>
    <t>1. Theo danh mục</t>
  </si>
  <si>
    <t>Số lượng bán</t>
  </si>
  <si>
    <t>2. Theo sản phẩm</t>
  </si>
  <si>
    <t>Điểm xếp hạng (cột phụ)</t>
  </si>
  <si>
    <t>3. Top 10 sản phẩm theo doanh thu (xếp hạng tự động bằng LARGE/INDEX/MATCH) và phân tích Pareto</t>
  </si>
  <si>
    <t>Hạng</t>
  </si>
  <si>
    <t>Lũy kế tỷ trọng</t>
  </si>
  <si>
    <t>Dòng (cột phụ)</t>
  </si>
  <si>
    <t>4. Ảnh hưởng của mức giảm giá đến doanh thu và biên lợi nhuận</t>
  </si>
  <si>
    <t>Mức giảm giá</t>
  </si>
  <si>
    <t>Số lượng TB / đơn</t>
  </si>
  <si>
    <t>1. Theo khu vực</t>
  </si>
  <si>
    <t>2. Theo tỉnh/thành phố</t>
  </si>
  <si>
    <t>3. Theo kênh bán</t>
  </si>
  <si>
    <t>4. Ma trận doanh thu: Khu vực × Danh mục (VNĐ)</t>
  </si>
  <si>
    <t>5. Ma trận doanh thu: Khu vực × Kênh bán (VNĐ)</t>
  </si>
  <si>
    <t>1. Theo phân khúc khách hàng</t>
  </si>
  <si>
    <t>Số KH có mua</t>
  </si>
  <si>
    <t>Doanh thu TB / KH (VNĐ)</t>
  </si>
  <si>
    <t>2. Theo nhân viên bán hàng</t>
  </si>
  <si>
    <t>Tỷ lệ hủy/hoàn trả</t>
  </si>
  <si>
    <t>Tổng số đơn nhận</t>
  </si>
  <si>
    <t>3. Phân nhóm khách hàng theo giá trị (phân khúc đơn giản theo doanh thu)</t>
  </si>
  <si>
    <t>Giả định phân nhóm</t>
  </si>
  <si>
    <t>Ngưỡng doanh thu (VNĐ)</t>
  </si>
  <si>
    <t>Nhóm VIP: doanh thu từ</t>
  </si>
  <si>
    <t>Nhóm Thân thiết: doanh thu từ</t>
  </si>
  <si>
    <t>Nhóm khách hàng</t>
  </si>
  <si>
    <t>Số KH</t>
  </si>
  <si>
    <t>Tỷ trọng số KH</t>
  </si>
  <si>
    <t>VIP</t>
  </si>
  <si>
    <t>Thân thiết</t>
  </si>
  <si>
    <t>Tiềm năng</t>
  </si>
  <si>
    <t>Không phát sinh</t>
  </si>
  <si>
    <t>Số khách hàng có phát sinh mua</t>
  </si>
  <si>
    <t>Tỷ lệ khách mua lại (≥ 2 đơn)</t>
  </si>
  <si>
    <t>4. Top 10 khách hàng theo doanh thu</t>
  </si>
  <si>
    <t>Top 10 đóng góp</t>
  </si>
  <si>
    <t>5. Danh mục khách hàng và giá trị mua (60 khách hàng)</t>
  </si>
  <si>
    <t>KH050</t>
  </si>
  <si>
    <t>Công ty CP Hoàng Gia</t>
  </si>
  <si>
    <t>DASHBOARD BÁO CÁO BÁN HÀNG NĂM 2025</t>
  </si>
  <si>
    <t>TỔNG DOANH THU (VNĐ)</t>
  </si>
  <si>
    <t>TỔNG LỢI NHUẬN (VNĐ)</t>
  </si>
  <si>
    <t>BIÊN LỢI NHUẬN</t>
  </si>
  <si>
    <t>SỐ ĐƠN HOÀN THÀNH</t>
  </si>
  <si>
    <t>GIÁ TRỊ ĐƠN TRUNG BÌNH (VNĐ)</t>
  </si>
  <si>
    <t>TỶ LỆ HỦY / HOÀN TRẢ</t>
  </si>
  <si>
    <t>SỐ KHÁCH HÀNG CÓ MUA</t>
  </si>
  <si>
    <t>TĂNG TRƯỞNG DOANH THU Q4 SO VỚI Q1</t>
  </si>
  <si>
    <t>A. Phát hiện chính và đề xuất</t>
  </si>
  <si>
    <t>Chủ đề</t>
  </si>
  <si>
    <t>Phát hiện (từ dữ liệu)</t>
  </si>
  <si>
    <t>Đề xuất hành động</t>
  </si>
  <si>
    <t>Kết quả chung</t>
  </si>
  <si>
    <t>Doanh thu 346,3 triệu, lợi nhuận 131,0 triệu, biên lợi nhuận 37,8% từ 176 đơn hoàn thành; giá trị đơn trung bình 1,97 triệu. Có 12,0% đơn bị hủy hoặc hoàn trả (24/200 đơn).</t>
  </si>
  <si>
    <t>Đặt KPI theo dõi hằng tháng: biên LN, giá trị đơn trung bình và tỷ lệ hủy/hoàn trả (đã có sẵn trên Dashboard).</t>
  </si>
  <si>
    <t>Xu hướng theo thời gian</t>
  </si>
  <si>
    <t>Quý 4 cao nhất (114,3 triệu), tăng 57% so với Quý 1; Quý 2 thấp nhất (63,6 triệu). Tháng 12 là đỉnh (64,6 triệu, 18,6% doanh thu năm), tháng 2 thấp nhất (9,9 triệu).</t>
  </si>
  <si>
    <t>Chuẩn bị tồn kho và ngân sách quảng cáo trước Quý 4; thiết kế chương trình kích cầu cho Quý 2 và các tháng đầu năm để giảm độ lệch mùa vụ.</t>
  </si>
  <si>
    <t>Danh mục sản phẩm</t>
  </si>
  <si>
    <t>Thời trang dẫn đầu doanh thu (37,4%, biên 43,7%). Biên cao nhất là Mỹ phẩm (52,0%) nhưng chỉ chiếm 5,6% doanh thu. Điện tử và Gia dụng có biên thấp hơn (32,8% và 32,3%).</t>
  </si>
  <si>
    <t>Đẩy bán chéo Mỹ phẩm cùng đơn Thời trang; đàm phán lại giá vốn hoặc tối ưu giá bán nhóm Điện tử, Gia dụng.</t>
  </si>
  <si>
    <t>Sản phẩm chủ lực (Pareto)</t>
  </si>
  <si>
    <t>Top 5 sản phẩm (Túi xách nữ, Loa thông minh, Nồi chiên không dầu, Giày thể thao, Áo khoác gió) chiếm 59,5% doanh thu. Sản phẩm biên thấp nhất trong top 5: Loa thông minh (30,1%).</t>
  </si>
  <si>
    <t>Ưu tiên tồn kho và quảng cáo cho nhóm sản phẩm chủ lực; rà soát giá bán hoặc giá vốn của sản phẩm doanh thu cao nhưng biên thấp.</t>
  </si>
  <si>
    <t>Chính sách giảm giá</t>
  </si>
  <si>
    <t>Biên LN giảm dần khi giảm giá sâu hơn: 43,6% (không giảm) → 36,2% (giảm 10%) → 30,2% (giảm 20%). Đơn giảm từ 15% trở lên chiếm 26,1% doanh thu. Tương quan giữa giảm giá và số lượng chỉ r = 0,09, tức giảm giá chưa kéo số lượng mua tăng rõ rệt trong dữ liệu này.</t>
  </si>
  <si>
    <t>Giới hạn mức giảm tối đa khoảng 10% với khách lẻ; chỉ giảm sâu cho đơn sỉ có số lượng lớn; chạy thử A/B trước khi áp dụng diện rộng.</t>
  </si>
  <si>
    <t>Kênh bán và khu vực</t>
  </si>
  <si>
    <t>Website dẫn đầu (40,1% doanh thu). Đại lý chỉ có 13 đơn nhưng giá trị đơn trung bình 3,80 triệu, cao nhất các kênh. Miền Nam 45,8%, Miền Bắc 42,2%, Miền Trung chỉ 12,0%.</t>
  </si>
  <si>
    <t>Tăng đầu tư cho Website; mở rộng mạng lưới đại lý để nâng giá trị đơn; thử nghiệm quảng cáo và kho trung chuyển để tăng độ phủ Miền Trung.</t>
  </si>
  <si>
    <t>Khách hàng</t>
  </si>
  <si>
    <t>Khách doanh nghiệp chiếm 20,5% số đơn nhưng 42,6% doanh thu. Với ngưỡng đã giả định, có 10 khách VIP đóng góp 41,2% doanh thu; tỷ lệ khách mua lại (≥ 2 đơn) là 84,7%.</t>
  </si>
  <si>
    <t>Xây chương trình chăm sóc riêng cho khách VIP và doanh nghiệp (giá sỉ, người phụ trách riêng); gửi ưu đãi mua lại cho khách chỉ mua 1 đơn.</t>
  </si>
  <si>
    <t>Nhân viên và vận hành</t>
  </si>
  <si>
    <t>Trần Quốc Bảo dẫn đầu doanh thu (19,9%), Bùi Thanh Tùng thấp nhất (4,6%). Tỷ lệ hủy/hoàn trả cao nhất thuộc Nguyễn Minh Anh (19,2%). Có 4 đơn thiếu thông tin nhân viên và 4 đơn thiếu kênh bán, cho thấy lỗi nhập liệu.</t>
  </si>
  <si>
    <t>Rà soát nguyên nhân hủy/hoàn trả ở từng nhân viên; đặt trường Kênh bán và Nhân viên là bắt buộc trong hệ thống nhập đơn; chia sẻ cách làm của nhân viên dẫn đầu.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</si>
</sst>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6" formatCode="#,##0.0"/>
    <numFmt numFmtId="167" formatCode="0.0"/>
    <numFmt numFmtId="168" formatCode="\+0.0%;\-0.0%"/>
  </numFmts>
  <fonts count="13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i/>
      <sz val="9"/>
      <color rgb="FF595959"/>
      <name val="Arial"/>
      <charset val="1"/>
    </font>
    <font>
      <sz val="10"/>
      <color rgb="FF0000FF"/>
      <name val="Arial"/>
      <charset val="1"/>
    </font>
    <font>
      <sz val="10"/>
      <color rgb="FF7F7F7F"/>
      <name val="Arial"/>
      <charset val="1"/>
    </font>
    <font>
      <b/>
      <sz val="18"/>
      <color rgb="FFFFFFFF"/>
      <name val="Arial"/>
      <charset val="1"/>
    </font>
    <font>
      <b/>
      <sz val="9"/>
      <color rgb="FF595959"/>
      <name val="Arial"/>
      <charset val="1"/>
    </font>
    <font>
      <b/>
      <sz val="18"/>
      <color rgb="FF1F3864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2F5597"/>
      </patternFill>
    </fill>
    <fill>
      <patternFill patternType="solid">
        <fgColor rgb="FF2F5597"/>
        <bgColor rgb="FF0563C1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  <fill>
      <patternFill patternType="solid">
        <fgColor rgb="FFF8CBAD"/>
        <bgColor rgb="FFD9D9D9"/>
      </patternFill>
    </fill>
    <fill>
      <patternFill patternType="solid">
        <fgColor rgb="FFD9E2F3"/>
        <bgColor rgb="FFD9D9D9"/>
      </patternFill>
    </fill>
    <fill>
      <patternFill patternType="solid">
        <fgColor theme="0"/>
        <bgColor rgb="FF2F5597"/>
      </patternFill>
    </fill>
    <fill>
      <patternFill patternType="solid">
        <fgColor theme="0"/>
        <bgColor rgb="FF0563C1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7" fillId="0" borderId="0" xfId="0" applyFont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3" borderId="0" xfId="0" applyFont="1" applyFill="1"/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vertical="center" indent="1"/>
    </xf>
    <xf numFmtId="0" fontId="5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4" fillId="0" borderId="0" xfId="0" applyFont="1"/>
    <xf numFmtId="14" fontId="5" fillId="5" borderId="1" xfId="0" applyNumberFormat="1" applyFont="1" applyFill="1" applyBorder="1"/>
    <xf numFmtId="3" fontId="5" fillId="0" borderId="1" xfId="0" applyNumberFormat="1" applyFont="1" applyBorder="1"/>
    <xf numFmtId="9" fontId="5" fillId="0" borderId="1" xfId="0" applyNumberFormat="1" applyFont="1" applyBorder="1"/>
    <xf numFmtId="0" fontId="5" fillId="5" borderId="0" xfId="0" applyFont="1" applyFill="1"/>
    <xf numFmtId="14" fontId="5" fillId="0" borderId="1" xfId="0" applyNumberFormat="1" applyFont="1" applyBorder="1"/>
    <xf numFmtId="0" fontId="5" fillId="5" borderId="1" xfId="0" applyFont="1" applyFill="1" applyBorder="1"/>
    <xf numFmtId="0" fontId="5" fillId="6" borderId="0" xfId="0" applyFont="1" applyFill="1"/>
    <xf numFmtId="0" fontId="7" fillId="0" borderId="0" xfId="0" applyFont="1"/>
    <xf numFmtId="1" fontId="5" fillId="5" borderId="1" xfId="0" applyNumberFormat="1" applyFont="1" applyFill="1" applyBorder="1"/>
    <xf numFmtId="0" fontId="5" fillId="6" borderId="1" xfId="0" applyFont="1" applyFill="1" applyBorder="1"/>
    <xf numFmtId="14" fontId="5" fillId="6" borderId="1" xfId="0" applyNumberFormat="1" applyFont="1" applyFill="1" applyBorder="1"/>
    <xf numFmtId="3" fontId="5" fillId="6" borderId="1" xfId="0" applyNumberFormat="1" applyFont="1" applyFill="1" applyBorder="1"/>
    <xf numFmtId="9" fontId="5" fillId="6" borderId="1" xfId="0" applyNumberFormat="1" applyFont="1" applyFill="1" applyBorder="1"/>
    <xf numFmtId="1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0" fontId="4" fillId="7" borderId="1" xfId="0" applyFont="1" applyFill="1" applyBorder="1"/>
    <xf numFmtId="0" fontId="4" fillId="7" borderId="1" xfId="0" applyFont="1" applyFill="1" applyBorder="1" applyAlignment="1">
      <alignment horizontal="left" vertical="center" wrapText="1"/>
    </xf>
    <xf numFmtId="3" fontId="4" fillId="7" borderId="1" xfId="0" applyNumberFormat="1" applyFont="1" applyFill="1" applyBorder="1"/>
    <xf numFmtId="3" fontId="8" fillId="0" borderId="1" xfId="0" applyNumberFormat="1" applyFont="1" applyBorder="1"/>
    <xf numFmtId="9" fontId="8" fillId="0" borderId="1" xfId="0" applyNumberFormat="1" applyFont="1" applyBorder="1"/>
    <xf numFmtId="164" fontId="5" fillId="0" borderId="1" xfId="0" applyNumberFormat="1" applyFont="1" applyBorder="1"/>
    <xf numFmtId="1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2" fontId="5" fillId="0" borderId="1" xfId="0" applyNumberFormat="1" applyFont="1" applyBorder="1" applyAlignment="1">
      <alignment horizontal="right" vertical="center"/>
    </xf>
    <xf numFmtId="3" fontId="8" fillId="0" borderId="1" xfId="0" applyNumberFormat="1" applyFont="1" applyBorder="1" applyAlignment="1">
      <alignment horizontal="center" vertical="center"/>
    </xf>
    <xf numFmtId="1" fontId="4" fillId="7" borderId="1" xfId="0" applyNumberFormat="1" applyFont="1" applyFill="1" applyBorder="1"/>
    <xf numFmtId="164" fontId="4" fillId="7" borderId="1" xfId="0" applyNumberFormat="1" applyFont="1" applyFill="1" applyBorder="1"/>
    <xf numFmtId="2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2" fontId="5" fillId="0" borderId="1" xfId="0" applyNumberFormat="1" applyFont="1" applyBorder="1"/>
    <xf numFmtId="166" fontId="9" fillId="0" borderId="1" xfId="0" applyNumberFormat="1" applyFont="1" applyBorder="1"/>
    <xf numFmtId="166" fontId="4" fillId="7" borderId="1" xfId="0" applyNumberFormat="1" applyFont="1" applyFill="1" applyBorder="1"/>
    <xf numFmtId="1" fontId="9" fillId="0" borderId="1" xfId="0" applyNumberFormat="1" applyFont="1" applyBorder="1" applyAlignment="1">
      <alignment horizontal="center" vertical="center"/>
    </xf>
    <xf numFmtId="9" fontId="8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3" fontId="8" fillId="4" borderId="1" xfId="0" applyNumberFormat="1" applyFont="1" applyFill="1" applyBorder="1"/>
    <xf numFmtId="0" fontId="0" fillId="2" borderId="0" xfId="0" applyFill="1"/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0" xfId="0" applyFont="1" applyAlignment="1">
      <alignment horizontal="center" vertical="center"/>
    </xf>
    <xf numFmtId="0" fontId="10" fillId="2" borderId="0" xfId="0" applyFont="1" applyFill="1" applyAlignment="1">
      <alignment vertical="center" indent="1"/>
    </xf>
    <xf numFmtId="0" fontId="7" fillId="0" borderId="0" xfId="0" applyFont="1"/>
    <xf numFmtId="0" fontId="11" fillId="7" borderId="2" xfId="0" applyFont="1" applyFill="1" applyBorder="1" applyAlignment="1">
      <alignment horizontal="center" vertical="center" wrapText="1"/>
    </xf>
    <xf numFmtId="3" fontId="12" fillId="7" borderId="3" xfId="0" applyNumberFormat="1" applyFont="1" applyFill="1" applyBorder="1" applyAlignment="1">
      <alignment horizontal="center" vertical="center" wrapText="1"/>
    </xf>
    <xf numFmtId="164" fontId="12" fillId="7" borderId="3" xfId="0" applyNumberFormat="1" applyFont="1" applyFill="1" applyBorder="1" applyAlignment="1">
      <alignment horizontal="center" vertical="center" wrapText="1"/>
    </xf>
    <xf numFmtId="1" fontId="12" fillId="7" borderId="3" xfId="0" applyNumberFormat="1" applyFont="1" applyFill="1" applyBorder="1" applyAlignment="1">
      <alignment horizontal="center" vertical="center" wrapText="1"/>
    </xf>
    <xf numFmtId="168" fontId="12" fillId="7" borderId="3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8" borderId="0" xfId="0" applyFont="1" applyFill="1" applyAlignment="1">
      <alignment vertical="center" indent="1"/>
    </xf>
    <xf numFmtId="0" fontId="3" fillId="9" borderId="0" xfId="0" applyFont="1" applyFill="1"/>
  </cellXfs>
  <cellStyles count="1">
    <cellStyle name="Normal" xfId="0" builtinId="0"/>
  </cellStyles>
  <dxfs count="2">
    <dxf>
      <font>
        <b/>
        <color rgb="FFC00000"/>
        <name val="Arial"/>
        <charset val="1"/>
      </font>
    </dxf>
    <dxf>
      <font>
        <b/>
        <color rgb="FFC00000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8FAADC"/>
      <rgbColor rgb="FF7030A0"/>
      <rgbColor rgb="FFFFF2CC"/>
      <rgbColor rgb="FFD9E2F3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4F81BD"/>
      <rgbColor rgb="FF4BACC6"/>
      <rgbColor rgb="FF9BBB59"/>
      <rgbColor rgb="FFFFC000"/>
      <rgbColor rgb="FFFF9900"/>
      <rgbColor rgb="FFED7D31"/>
      <rgbColor rgb="FF8064A2"/>
      <rgbColor rgb="FF878787"/>
      <rgbColor rgb="FF1F3864"/>
      <rgbColor rgb="FF70AD47"/>
      <rgbColor rgb="FF003300"/>
      <rgbColor rgb="FF333300"/>
      <rgbColor rgb="FF993300"/>
      <rgbColor rgb="FFC0504D"/>
      <rgbColor rgb="FF2F5597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vi-VN" sz="1800" b="1" strike="noStrike" spc="-1">
                <a:solidFill>
                  <a:srgbClr val="000000"/>
                </a:solidFill>
                <a:latin typeface="Calibri"/>
              </a:rPr>
              <a:t>Phân phối giá trị đơn hàng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5597"/>
            </a:solidFill>
            <a:ln w="0">
              <a:solidFill>
                <a:srgbClr val="2F559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vi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'Thống kê mô tả'!$A$24:$A$29</c:f>
              <c:strCache>
                <c:ptCount val="6"/>
                <c:pt idx="0">
                  <c:v>Dưới 500 nghìn</c:v>
                </c:pt>
                <c:pt idx="1">
                  <c:v>500 nghìn – 1 triệu</c:v>
                </c:pt>
                <c:pt idx="2">
                  <c:v>1 – 2 triệu</c:v>
                </c:pt>
                <c:pt idx="3">
                  <c:v>2 – 5 triệu</c:v>
                </c:pt>
                <c:pt idx="4">
                  <c:v>5 – 10 triệu</c:v>
                </c:pt>
                <c:pt idx="5">
                  <c:v>Từ 10 triệu trở lên</c:v>
                </c:pt>
              </c:strCache>
            </c:strRef>
          </c:cat>
          <c:val>
            <c:numRef>
              <c:f>'Thống kê mô tả'!$D$24:$D$29</c:f>
              <c:numCache>
                <c:formatCode>0</c:formatCode>
                <c:ptCount val="6"/>
                <c:pt idx="0">
                  <c:v>35</c:v>
                </c:pt>
                <c:pt idx="1">
                  <c:v>44</c:v>
                </c:pt>
                <c:pt idx="2">
                  <c:v>43</c:v>
                </c:pt>
                <c:pt idx="3">
                  <c:v>37</c:v>
                </c:pt>
                <c:pt idx="4">
                  <c:v>13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68-415D-9540-31966E5E63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958531"/>
        <c:axId val="66822433"/>
      </c:barChart>
      <c:catAx>
        <c:axId val="19585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vi-VN" sz="1000" b="1" strike="noStrike" spc="-1">
                    <a:solidFill>
                      <a:srgbClr val="000000"/>
                    </a:solidFill>
                    <a:latin typeface="Calibri"/>
                  </a:rPr>
                  <a:t>Khoảng doanh thu / đơn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66822433"/>
        <c:crosses val="autoZero"/>
        <c:auto val="1"/>
        <c:lblAlgn val="ctr"/>
        <c:lblOffset val="100"/>
        <c:noMultiLvlLbl val="0"/>
      </c:catAx>
      <c:valAx>
        <c:axId val="668224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vi-VN" sz="1000" b="1" strike="noStrike" spc="-1">
                    <a:solidFill>
                      <a:srgbClr val="000000"/>
                    </a:solidFill>
                    <a:latin typeface="Calibri"/>
                  </a:rPr>
                  <a:t>Số đơn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19585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vi-VN" sz="1800" b="1" strike="noStrike" spc="-1">
                <a:solidFill>
                  <a:srgbClr val="000000"/>
                </a:solidFill>
                <a:latin typeface="Calibri"/>
              </a:rPr>
              <a:t>Cơ cấu trạng thái đơn hàng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2914-426E-AED8-35C9D75D0F8A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914-426E-AED8-35C9D75D0F8A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914-426E-AED8-35C9D75D0F8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vi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2914-426E-AED8-35C9D75D0F8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vi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2914-426E-AED8-35C9D75D0F8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vi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2914-426E-AED8-35C9D75D0F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vi-VN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'Thống kê mô tả'!$A$35:$A$37</c:f>
              <c:strCache>
                <c:ptCount val="3"/>
                <c:pt idx="0">
                  <c:v>Hoàn thành</c:v>
                </c:pt>
                <c:pt idx="1">
                  <c:v>Đã hủy</c:v>
                </c:pt>
                <c:pt idx="2">
                  <c:v>Hoàn trả</c:v>
                </c:pt>
              </c:strCache>
            </c:strRef>
          </c:cat>
          <c:val>
            <c:numRef>
              <c:f>'Thống kê mô tả'!$B$35:$B$37</c:f>
              <c:numCache>
                <c:formatCode>0</c:formatCode>
                <c:ptCount val="3"/>
                <c:pt idx="0">
                  <c:v>176</c:v>
                </c:pt>
                <c:pt idx="1">
                  <c:v>12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14-426E-AED8-35C9D75D0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vi-V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vi-VN" sz="1800" b="1" strike="noStrike" spc="-1">
                <a:solidFill>
                  <a:srgbClr val="000000"/>
                </a:solidFill>
                <a:latin typeface="Calibri"/>
              </a:rPr>
              <a:t>Doanh thu, lợi nhuận và biên LN theo tháng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 Thời gian'!$D$5</c:f>
              <c:strCache>
                <c:ptCount val="1"/>
                <c:pt idx="0">
                  <c:v>Doanh thu (VNĐ)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vi-V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'PT Thời gian'!$A$6:$A$17</c:f>
              <c:strCache>
                <c:ptCount val="12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  <c:pt idx="6">
                  <c:v>Tháng 7</c:v>
                </c:pt>
                <c:pt idx="7">
                  <c:v>Tháng 8</c:v>
                </c:pt>
                <c:pt idx="8">
                  <c:v>Tháng 9</c:v>
                </c:pt>
                <c:pt idx="9">
                  <c:v>Tháng 10</c:v>
                </c:pt>
                <c:pt idx="10">
                  <c:v>Tháng 11</c:v>
                </c:pt>
                <c:pt idx="11">
                  <c:v>Tháng 12</c:v>
                </c:pt>
              </c:strCache>
            </c:strRef>
          </c:cat>
          <c:val>
            <c:numRef>
              <c:f>'PT Thời gian'!$D$6:$D$17</c:f>
              <c:numCache>
                <c:formatCode>#,##0</c:formatCode>
                <c:ptCount val="12"/>
                <c:pt idx="0">
                  <c:v>12475600</c:v>
                </c:pt>
                <c:pt idx="1">
                  <c:v>9850700</c:v>
                </c:pt>
                <c:pt idx="2">
                  <c:v>50366500</c:v>
                </c:pt>
                <c:pt idx="3">
                  <c:v>20054200</c:v>
                </c:pt>
                <c:pt idx="4">
                  <c:v>17846350</c:v>
                </c:pt>
                <c:pt idx="5">
                  <c:v>25664500</c:v>
                </c:pt>
                <c:pt idx="6">
                  <c:v>33776500</c:v>
                </c:pt>
                <c:pt idx="7">
                  <c:v>19911000</c:v>
                </c:pt>
                <c:pt idx="8">
                  <c:v>42028450</c:v>
                </c:pt>
                <c:pt idx="9">
                  <c:v>34703050</c:v>
                </c:pt>
                <c:pt idx="10">
                  <c:v>15014200</c:v>
                </c:pt>
                <c:pt idx="11">
                  <c:v>64569600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7-43D5-9909-C09E86A8FAF0}"/>
            </c:ext>
          </c:extLst>
        </c:ser>
        <c:ser>
          <c:idx val="1"/>
          <c:order val="1"/>
          <c:tx>
            <c:strRef>
              <c:f>'PT Thời gian'!$E$5</c:f>
              <c:strCache>
                <c:ptCount val="1"/>
                <c:pt idx="0">
                  <c:v>Lợi nhuận (VNĐ)</c:v>
                </c:pt>
              </c:strCache>
            </c:strRef>
          </c:tx>
          <c:spPr>
            <a:solidFill>
              <a:srgbClr val="8FAADC"/>
            </a:solidFill>
            <a:ln w="0">
              <a:solidFill>
                <a:srgbClr val="8FAAD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vi-V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'PT Thời gian'!$A$6:$A$17</c:f>
              <c:strCache>
                <c:ptCount val="12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  <c:pt idx="6">
                  <c:v>Tháng 7</c:v>
                </c:pt>
                <c:pt idx="7">
                  <c:v>Tháng 8</c:v>
                </c:pt>
                <c:pt idx="8">
                  <c:v>Tháng 9</c:v>
                </c:pt>
                <c:pt idx="9">
                  <c:v>Tháng 10</c:v>
                </c:pt>
                <c:pt idx="10">
                  <c:v>Tháng 11</c:v>
                </c:pt>
                <c:pt idx="11">
                  <c:v>Tháng 12</c:v>
                </c:pt>
              </c:strCache>
            </c:strRef>
          </c:cat>
          <c:val>
            <c:numRef>
              <c:f>'PT Thời gian'!$E$6:$E$17</c:f>
              <c:numCache>
                <c:formatCode>#,##0</c:formatCode>
                <c:ptCount val="12"/>
                <c:pt idx="0">
                  <c:v>4725600</c:v>
                </c:pt>
                <c:pt idx="1">
                  <c:v>3800700</c:v>
                </c:pt>
                <c:pt idx="2">
                  <c:v>15906500</c:v>
                </c:pt>
                <c:pt idx="3">
                  <c:v>7844200</c:v>
                </c:pt>
                <c:pt idx="4">
                  <c:v>7896350</c:v>
                </c:pt>
                <c:pt idx="5">
                  <c:v>11494500</c:v>
                </c:pt>
                <c:pt idx="6">
                  <c:v>12676500</c:v>
                </c:pt>
                <c:pt idx="7">
                  <c:v>7441000</c:v>
                </c:pt>
                <c:pt idx="8">
                  <c:v>15618450</c:v>
                </c:pt>
                <c:pt idx="9">
                  <c:v>13223050</c:v>
                </c:pt>
                <c:pt idx="10">
                  <c:v>5874200</c:v>
                </c:pt>
                <c:pt idx="11">
                  <c:v>24499600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7-43D5-9909-C09E86A8F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7355264"/>
        <c:axId val="35521810"/>
      </c:barChart>
      <c:lineChart>
        <c:grouping val="standard"/>
        <c:varyColors val="0"/>
        <c:ser>
          <c:idx val="2"/>
          <c:order val="2"/>
          <c:tx>
            <c:strRef>
              <c:f>'PT Thời gian'!$F$5</c:f>
              <c:strCache>
                <c:ptCount val="1"/>
                <c:pt idx="0">
                  <c:v>Biên LN</c:v>
                </c:pt>
              </c:strCache>
            </c:strRef>
          </c:tx>
          <c:spPr>
            <a:ln w="28080">
              <a:solidFill>
                <a:srgbClr val="ED7D31"/>
              </a:solidFill>
              <a:round/>
            </a:ln>
          </c:spPr>
          <c:marker>
            <c:symbol val="circle"/>
            <c:size val="6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vi-V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'PT Thời gian'!$A$6:$A$17</c:f>
              <c:strCache>
                <c:ptCount val="12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  <c:pt idx="6">
                  <c:v>Tháng 7</c:v>
                </c:pt>
                <c:pt idx="7">
                  <c:v>Tháng 8</c:v>
                </c:pt>
                <c:pt idx="8">
                  <c:v>Tháng 9</c:v>
                </c:pt>
                <c:pt idx="9">
                  <c:v>Tháng 10</c:v>
                </c:pt>
                <c:pt idx="10">
                  <c:v>Tháng 11</c:v>
                </c:pt>
                <c:pt idx="11">
                  <c:v>Tháng 12</c:v>
                </c:pt>
              </c:strCache>
            </c:strRef>
          </c:cat>
          <c:val>
            <c:numRef>
              <c:f>'PT Thời gian'!$F$6:$F$17</c:f>
              <c:numCache>
                <c:formatCode>0.0%</c:formatCode>
                <c:ptCount val="12"/>
                <c:pt idx="0">
                  <c:v>0.37878739299111869</c:v>
                </c:pt>
                <c:pt idx="1">
                  <c:v>0.3858304485975616</c:v>
                </c:pt>
                <c:pt idx="2">
                  <c:v>0.31581507549660987</c:v>
                </c:pt>
                <c:pt idx="3">
                  <c:v>0.39114998354459413</c:v>
                </c:pt>
                <c:pt idx="4">
                  <c:v>0.44246302465209975</c:v>
                </c:pt>
                <c:pt idx="5">
                  <c:v>0.4478754700072084</c:v>
                </c:pt>
                <c:pt idx="6">
                  <c:v>0.37530531582609211</c:v>
                </c:pt>
                <c:pt idx="7">
                  <c:v>0.37371302295213699</c:v>
                </c:pt>
                <c:pt idx="8">
                  <c:v>0.37161613145381284</c:v>
                </c:pt>
                <c:pt idx="9">
                  <c:v>0.38103423186146462</c:v>
                </c:pt>
                <c:pt idx="10">
                  <c:v>0.39124295666768794</c:v>
                </c:pt>
                <c:pt idx="11">
                  <c:v>0.37942932897214787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17-43D5-9909-C09E86A8F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2715790"/>
        <c:axId val="3797689"/>
      </c:lineChart>
      <c:catAx>
        <c:axId val="5735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35521810"/>
        <c:crosses val="autoZero"/>
        <c:auto val="1"/>
        <c:lblAlgn val="ctr"/>
        <c:lblOffset val="100"/>
        <c:noMultiLvlLbl val="0"/>
      </c:catAx>
      <c:valAx>
        <c:axId val="355218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vi-VN" sz="1000" b="1" strike="noStrike" spc="-1">
                    <a:solidFill>
                      <a:srgbClr val="000000"/>
                    </a:solidFill>
                    <a:latin typeface="Calibri"/>
                  </a:rPr>
                  <a:t>Triệu VNĐ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57355264"/>
        <c:crosses val="autoZero"/>
        <c:crossBetween val="between"/>
      </c:valAx>
      <c:catAx>
        <c:axId val="127157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3797689"/>
        <c:crosses val="autoZero"/>
        <c:auto val="1"/>
        <c:lblAlgn val="ctr"/>
        <c:lblOffset val="100"/>
        <c:noMultiLvlLbl val="0"/>
      </c:catAx>
      <c:valAx>
        <c:axId val="3797689"/>
        <c:scaling>
          <c:orientation val="minMax"/>
          <c:max val="0.7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vi-VN" sz="1000" b="1" strike="noStrike" spc="-1">
                    <a:solidFill>
                      <a:srgbClr val="000000"/>
                    </a:solidFill>
                    <a:latin typeface="Calibri"/>
                  </a:rPr>
                  <a:t>Biên lợi nhuận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1271579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vi-V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Doanh thu theo quý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vi-V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'PT Thời gian'!$A$23:$A$26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'PT Thời gian'!$C$23:$C$26</c:f>
              <c:numCache>
                <c:formatCode>#,##0</c:formatCode>
                <c:ptCount val="4"/>
                <c:pt idx="0">
                  <c:v>72692800</c:v>
                </c:pt>
                <c:pt idx="1">
                  <c:v>63565050</c:v>
                </c:pt>
                <c:pt idx="2">
                  <c:v>95715950</c:v>
                </c:pt>
                <c:pt idx="3">
                  <c:v>114286850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7-4AB7-B513-73F1CD70B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3065199"/>
        <c:axId val="76501399"/>
      </c:barChart>
      <c:catAx>
        <c:axId val="13065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76501399"/>
        <c:crosses val="autoZero"/>
        <c:auto val="1"/>
        <c:lblAlgn val="ctr"/>
        <c:lblOffset val="100"/>
        <c:noMultiLvlLbl val="0"/>
      </c:catAx>
      <c:valAx>
        <c:axId val="765013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Triệu VNĐ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130651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vi-VN" sz="1800" b="1" strike="noStrike" spc="-1">
                <a:solidFill>
                  <a:srgbClr val="000000"/>
                </a:solidFill>
                <a:latin typeface="Calibri"/>
              </a:rPr>
              <a:t>Cơ cấu doanh thu theo danh mục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0C76-4BE8-8EA3-A95386450C4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0C76-4BE8-8EA3-A95386450C4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0C76-4BE8-8EA3-A95386450C4F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0C76-4BE8-8EA3-A95386450C4F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0C76-4BE8-8EA3-A95386450C4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vi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0C76-4BE8-8EA3-A95386450C4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vi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0C76-4BE8-8EA3-A95386450C4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vi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0C76-4BE8-8EA3-A95386450C4F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vi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0C76-4BE8-8EA3-A95386450C4F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vi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0C76-4BE8-8EA3-A95386450C4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vi-VN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'PT Sản phẩm'!$A$6:$A$10</c:f>
              <c:strCache>
                <c:ptCount val="5"/>
                <c:pt idx="0">
                  <c:v>Điện tử</c:v>
                </c:pt>
                <c:pt idx="1">
                  <c:v>Gia dụng</c:v>
                </c:pt>
                <c:pt idx="2">
                  <c:v>Thời trang</c:v>
                </c:pt>
                <c:pt idx="3">
                  <c:v>Mỹ phẩm</c:v>
                </c:pt>
                <c:pt idx="4">
                  <c:v>Thực phẩm</c:v>
                </c:pt>
              </c:strCache>
            </c:strRef>
          </c:cat>
          <c:val>
            <c:numRef>
              <c:f>'PT Sản phẩm'!$D$6:$D$10</c:f>
              <c:numCache>
                <c:formatCode>#,##0</c:formatCode>
                <c:ptCount val="5"/>
                <c:pt idx="0">
                  <c:v>100920800</c:v>
                </c:pt>
                <c:pt idx="1">
                  <c:v>83303300</c:v>
                </c:pt>
                <c:pt idx="2">
                  <c:v>129392600</c:v>
                </c:pt>
                <c:pt idx="3">
                  <c:v>19240500</c:v>
                </c:pt>
                <c:pt idx="4">
                  <c:v>13403450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C76-4BE8-8EA3-A95386450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vi-V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vi-VN" sz="1800" b="1" strike="noStrike" spc="-1">
                <a:solidFill>
                  <a:srgbClr val="000000"/>
                </a:solidFill>
                <a:latin typeface="Calibri"/>
              </a:rPr>
              <a:t>Top 10 sản phẩm theo doanh thu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F5597"/>
            </a:solidFill>
            <a:ln w="0">
              <a:solidFill>
                <a:srgbClr val="2F559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vi-V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'PT Sản phẩm'!$B$38:$B$47</c:f>
              <c:strCache>
                <c:ptCount val="10"/>
                <c:pt idx="0">
                  <c:v>Túi xách nữ</c:v>
                </c:pt>
                <c:pt idx="1">
                  <c:v>Loa thông minh</c:v>
                </c:pt>
                <c:pt idx="2">
                  <c:v>Nồi chiên không dầu</c:v>
                </c:pt>
                <c:pt idx="3">
                  <c:v>Giày thể thao</c:v>
                </c:pt>
                <c:pt idx="4">
                  <c:v>Áo khoác gió</c:v>
                </c:pt>
                <c:pt idx="5">
                  <c:v>Bàn phím cơ</c:v>
                </c:pt>
                <c:pt idx="6">
                  <c:v>Máy hút bụi mini</c:v>
                </c:pt>
                <c:pt idx="7">
                  <c:v>Máy xay sinh tố</c:v>
                </c:pt>
                <c:pt idx="8">
                  <c:v>Tai nghe Bluetooth</c:v>
                </c:pt>
                <c:pt idx="9">
                  <c:v>Chuột không dây</c:v>
                </c:pt>
              </c:strCache>
            </c:strRef>
          </c:cat>
          <c:val>
            <c:numRef>
              <c:f>'PT Sản phẩm'!$C$38:$C$47</c:f>
              <c:numCache>
                <c:formatCode>#,##0</c:formatCode>
                <c:ptCount val="10"/>
                <c:pt idx="0">
                  <c:v>55785000</c:v>
                </c:pt>
                <c:pt idx="1">
                  <c:v>42892500</c:v>
                </c:pt>
                <c:pt idx="2">
                  <c:v>40296000</c:v>
                </c:pt>
                <c:pt idx="3">
                  <c:v>37222500</c:v>
                </c:pt>
                <c:pt idx="4">
                  <c:v>29821900</c:v>
                </c:pt>
                <c:pt idx="5">
                  <c:v>29013000</c:v>
                </c:pt>
                <c:pt idx="6">
                  <c:v>20320000</c:v>
                </c:pt>
                <c:pt idx="7">
                  <c:v>16949100</c:v>
                </c:pt>
                <c:pt idx="8">
                  <c:v>10812800</c:v>
                </c:pt>
                <c:pt idx="9">
                  <c:v>9422800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A0-4A01-A755-57727448E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7218345"/>
        <c:axId val="2671841"/>
      </c:barChart>
      <c:catAx>
        <c:axId val="4721834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2671841"/>
        <c:crosses val="autoZero"/>
        <c:auto val="1"/>
        <c:lblAlgn val="ctr"/>
        <c:lblOffset val="100"/>
        <c:noMultiLvlLbl val="0"/>
      </c:catAx>
      <c:valAx>
        <c:axId val="2671841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vi-VN" sz="1000" b="1" strike="noStrike" spc="-1">
                    <a:solidFill>
                      <a:srgbClr val="000000"/>
                    </a:solidFill>
                    <a:latin typeface="Calibri"/>
                  </a:rPr>
                  <a:t>Triệu VNĐ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4721834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vi-VN" sz="1800" b="1" strike="noStrike" spc="-1">
                <a:solidFill>
                  <a:srgbClr val="000000"/>
                </a:solidFill>
                <a:latin typeface="Calibri"/>
              </a:rPr>
              <a:t>Biên lợi nhuận theo mức giảm giá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D7D31"/>
            </a:solidFill>
            <a:ln w="0">
              <a:solidFill>
                <a:srgbClr val="ED7D3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vi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'PT Sản phẩm'!$A$51:$A$55</c:f>
              <c:numCache>
                <c:formatCode>0%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</c:numCache>
            </c:numRef>
          </c:cat>
          <c:val>
            <c:numRef>
              <c:f>'PT Sản phẩm'!$E$51:$E$55</c:f>
              <c:numCache>
                <c:formatCode>0.0%</c:formatCode>
                <c:ptCount val="5"/>
                <c:pt idx="0">
                  <c:v>0.43577299938707481</c:v>
                </c:pt>
                <c:pt idx="1">
                  <c:v>0.39650191536331786</c:v>
                </c:pt>
                <c:pt idx="2">
                  <c:v>0.36235553367559836</c:v>
                </c:pt>
                <c:pt idx="3">
                  <c:v>0.30551789617027725</c:v>
                </c:pt>
                <c:pt idx="4">
                  <c:v>0.30198973042362004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9-4784-A133-B0BEBBF7A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0682344"/>
        <c:axId val="30991031"/>
      </c:barChart>
      <c:catAx>
        <c:axId val="90682344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30991031"/>
        <c:crosses val="autoZero"/>
        <c:auto val="1"/>
        <c:lblAlgn val="ctr"/>
        <c:lblOffset val="100"/>
        <c:noMultiLvlLbl val="0"/>
      </c:catAx>
      <c:valAx>
        <c:axId val="309910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vi-VN" sz="1000" b="1" strike="noStrike" spc="-1">
                    <a:solidFill>
                      <a:srgbClr val="000000"/>
                    </a:solidFill>
                    <a:latin typeface="Calibri"/>
                  </a:rPr>
                  <a:t>Biên LN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9068234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vi-VN" sz="1800" b="1" strike="noStrike" spc="-1">
                <a:solidFill>
                  <a:srgbClr val="000000"/>
                </a:solidFill>
                <a:latin typeface="Calibri"/>
              </a:rPr>
              <a:t>Doanh thu và lợi nhuận theo khu vực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 Khu vực - Kênh'!$C$5</c:f>
              <c:strCache>
                <c:ptCount val="1"/>
                <c:pt idx="0">
                  <c:v>Doanh thu (VNĐ)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vi-V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'PT Khu vực - Kênh'!$A$6:$A$8</c:f>
              <c:strCache>
                <c:ptCount val="3"/>
                <c:pt idx="0">
                  <c:v>Miền Bắc</c:v>
                </c:pt>
                <c:pt idx="1">
                  <c:v>Miền Trung</c:v>
                </c:pt>
                <c:pt idx="2">
                  <c:v>Miền Nam</c:v>
                </c:pt>
              </c:strCache>
            </c:strRef>
          </c:cat>
          <c:val>
            <c:numRef>
              <c:f>'PT Khu vực - Kênh'!$C$6:$C$8</c:f>
              <c:numCache>
                <c:formatCode>#,##0</c:formatCode>
                <c:ptCount val="3"/>
                <c:pt idx="0">
                  <c:v>146116400</c:v>
                </c:pt>
                <c:pt idx="1">
                  <c:v>41500500</c:v>
                </c:pt>
                <c:pt idx="2">
                  <c:v>158643750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03-4DC0-AEA4-FB07CE3EC390}"/>
            </c:ext>
          </c:extLst>
        </c:ser>
        <c:ser>
          <c:idx val="1"/>
          <c:order val="1"/>
          <c:tx>
            <c:strRef>
              <c:f>'PT Khu vực - Kênh'!$E$5</c:f>
              <c:strCache>
                <c:ptCount val="1"/>
                <c:pt idx="0">
                  <c:v>Lợi nhuận (VNĐ)</c:v>
                </c:pt>
              </c:strCache>
            </c:strRef>
          </c:tx>
          <c:spPr>
            <a:solidFill>
              <a:srgbClr val="8FAADC"/>
            </a:solidFill>
            <a:ln w="0">
              <a:solidFill>
                <a:srgbClr val="8FAAD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vi-V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'PT Khu vực - Kênh'!$A$6:$A$8</c:f>
              <c:strCache>
                <c:ptCount val="3"/>
                <c:pt idx="0">
                  <c:v>Miền Bắc</c:v>
                </c:pt>
                <c:pt idx="1">
                  <c:v>Miền Trung</c:v>
                </c:pt>
                <c:pt idx="2">
                  <c:v>Miền Nam</c:v>
                </c:pt>
              </c:strCache>
            </c:strRef>
          </c:cat>
          <c:val>
            <c:numRef>
              <c:f>'PT Khu vực - Kênh'!$E$6:$E$8</c:f>
              <c:numCache>
                <c:formatCode>#,##0</c:formatCode>
                <c:ptCount val="3"/>
                <c:pt idx="0">
                  <c:v>54486400</c:v>
                </c:pt>
                <c:pt idx="1">
                  <c:v>15890500</c:v>
                </c:pt>
                <c:pt idx="2">
                  <c:v>60623750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03-4DC0-AEA4-FB07CE3EC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3514026"/>
        <c:axId val="34334883"/>
      </c:barChart>
      <c:catAx>
        <c:axId val="835140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34334883"/>
        <c:crosses val="autoZero"/>
        <c:auto val="1"/>
        <c:lblAlgn val="ctr"/>
        <c:lblOffset val="100"/>
        <c:noMultiLvlLbl val="0"/>
      </c:catAx>
      <c:valAx>
        <c:axId val="343348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vi-VN" sz="1000" b="1" strike="noStrike" spc="-1">
                    <a:solidFill>
                      <a:srgbClr val="000000"/>
                    </a:solidFill>
                    <a:latin typeface="Calibri"/>
                  </a:rPr>
                  <a:t>Triệu VNĐ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8351402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vi-V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Cơ cấu doanh thu theo kênh bán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DA8-477D-9143-42576FE9253C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DA8-477D-9143-42576FE9253C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7DA8-477D-9143-42576FE9253C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7DA8-477D-9143-42576FE9253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vi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7DA8-477D-9143-42576FE9253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vi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7DA8-477D-9143-42576FE9253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vi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7DA8-477D-9143-42576FE9253C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vi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7DA8-477D-9143-42576FE925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vi-VN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'PT Khu vực - Kênh'!$A$31:$A$34</c:f>
              <c:strCache>
                <c:ptCount val="4"/>
                <c:pt idx="0">
                  <c:v>Website</c:v>
                </c:pt>
                <c:pt idx="1">
                  <c:v>Sàn TMĐT</c:v>
                </c:pt>
                <c:pt idx="2">
                  <c:v>Cửa hàng</c:v>
                </c:pt>
                <c:pt idx="3">
                  <c:v>Đại lý</c:v>
                </c:pt>
              </c:strCache>
            </c:strRef>
          </c:cat>
          <c:val>
            <c:numRef>
              <c:f>'PT Khu vực - Kênh'!$C$31:$C$34</c:f>
              <c:numCache>
                <c:formatCode>#,##0</c:formatCode>
                <c:ptCount val="4"/>
                <c:pt idx="0">
                  <c:v>138837450</c:v>
                </c:pt>
                <c:pt idx="1">
                  <c:v>74365100</c:v>
                </c:pt>
                <c:pt idx="2">
                  <c:v>83648500</c:v>
                </c:pt>
                <c:pt idx="3">
                  <c:v>49409600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DA8-477D-9143-42576FE925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vi-V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Doanh thu theo nhân viên bán hàng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F5597"/>
            </a:solidFill>
            <a:ln w="0">
              <a:solidFill>
                <a:srgbClr val="2F559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vi-V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'PT Khách hàng - NV'!$A$12:$A$19</c:f>
              <c:strCache>
                <c:ptCount val="8"/>
                <c:pt idx="0">
                  <c:v>Nguyễn Minh Anh</c:v>
                </c:pt>
                <c:pt idx="1">
                  <c:v>Trần Quốc Bảo</c:v>
                </c:pt>
                <c:pt idx="2">
                  <c:v>Lê Thu Hà</c:v>
                </c:pt>
                <c:pt idx="3">
                  <c:v>Phạm Đức Huy</c:v>
                </c:pt>
                <c:pt idx="4">
                  <c:v>Võ Ngọc Lan</c:v>
                </c:pt>
                <c:pt idx="5">
                  <c:v>Đặng Hoàng Nam</c:v>
                </c:pt>
                <c:pt idx="6">
                  <c:v>Bùi Thanh Tùng</c:v>
                </c:pt>
                <c:pt idx="7">
                  <c:v>Hoàng Mai Linh</c:v>
                </c:pt>
              </c:strCache>
            </c:strRef>
          </c:cat>
          <c:val>
            <c:numRef>
              <c:f>'PT Khách hàng - NV'!$C$12:$C$19</c:f>
              <c:numCache>
                <c:formatCode>#,##0</c:formatCode>
                <c:ptCount val="8"/>
                <c:pt idx="0">
                  <c:v>41556500</c:v>
                </c:pt>
                <c:pt idx="1">
                  <c:v>68950500</c:v>
                </c:pt>
                <c:pt idx="2">
                  <c:v>51575500</c:v>
                </c:pt>
                <c:pt idx="3">
                  <c:v>61773800</c:v>
                </c:pt>
                <c:pt idx="4">
                  <c:v>32075000</c:v>
                </c:pt>
                <c:pt idx="5">
                  <c:v>36328300</c:v>
                </c:pt>
                <c:pt idx="6">
                  <c:v>15916800</c:v>
                </c:pt>
                <c:pt idx="7">
                  <c:v>32852750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8-4C45-824F-C30292461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8636481"/>
        <c:axId val="71592515"/>
      </c:barChart>
      <c:catAx>
        <c:axId val="1863648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71592515"/>
        <c:crosses val="autoZero"/>
        <c:auto val="1"/>
        <c:lblAlgn val="ctr"/>
        <c:lblOffset val="100"/>
        <c:noMultiLvlLbl val="0"/>
      </c:catAx>
      <c:valAx>
        <c:axId val="71592515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Triệu VNĐ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1863648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Doanh thu theo nhóm khách hàng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2706-4750-B10E-1AD4C71D4B9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706-4750-B10E-1AD4C71D4B9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706-4750-B10E-1AD4C71D4B9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vi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2706-4750-B10E-1AD4C71D4B9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vi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2706-4750-B10E-1AD4C71D4B9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vi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2706-4750-B10E-1AD4C71D4B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vi-VN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'PT Khách hàng - NV'!$A$29:$A$31</c:f>
              <c:strCache>
                <c:ptCount val="3"/>
                <c:pt idx="0">
                  <c:v>VIP</c:v>
                </c:pt>
                <c:pt idx="1">
                  <c:v>Thân thiết</c:v>
                </c:pt>
                <c:pt idx="2">
                  <c:v>Tiềm năng</c:v>
                </c:pt>
              </c:strCache>
            </c:strRef>
          </c:cat>
          <c:val>
            <c:numRef>
              <c:f>'PT Khách hàng - NV'!$C$29:$C$31</c:f>
              <c:numCache>
                <c:formatCode>#,##0</c:formatCode>
                <c:ptCount val="3"/>
                <c:pt idx="0">
                  <c:v>142629000</c:v>
                </c:pt>
                <c:pt idx="1">
                  <c:v>114498900</c:v>
                </c:pt>
                <c:pt idx="2">
                  <c:v>89132750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06-4750-B10E-1AD4C71D4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vi-V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vi-VN" sz="1800" b="1" strike="noStrike" spc="-1">
                <a:solidFill>
                  <a:srgbClr val="000000"/>
                </a:solidFill>
                <a:latin typeface="Calibri"/>
              </a:rPr>
              <a:t>Doanh thu, lợi nhuận và biên LN theo tháng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 Thời gian'!$D$5</c:f>
              <c:strCache>
                <c:ptCount val="1"/>
                <c:pt idx="0">
                  <c:v>Doanh thu (VNĐ)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vi-V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'PT Thời gian'!$A$6:$A$17</c:f>
              <c:strCache>
                <c:ptCount val="12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  <c:pt idx="6">
                  <c:v>Tháng 7</c:v>
                </c:pt>
                <c:pt idx="7">
                  <c:v>Tháng 8</c:v>
                </c:pt>
                <c:pt idx="8">
                  <c:v>Tháng 9</c:v>
                </c:pt>
                <c:pt idx="9">
                  <c:v>Tháng 10</c:v>
                </c:pt>
                <c:pt idx="10">
                  <c:v>Tháng 11</c:v>
                </c:pt>
                <c:pt idx="11">
                  <c:v>Tháng 12</c:v>
                </c:pt>
              </c:strCache>
            </c:strRef>
          </c:cat>
          <c:val>
            <c:numRef>
              <c:f>'PT Thời gian'!$D$6:$D$17</c:f>
              <c:numCache>
                <c:formatCode>#,##0</c:formatCode>
                <c:ptCount val="12"/>
                <c:pt idx="0">
                  <c:v>12475600</c:v>
                </c:pt>
                <c:pt idx="1">
                  <c:v>9850700</c:v>
                </c:pt>
                <c:pt idx="2">
                  <c:v>50366500</c:v>
                </c:pt>
                <c:pt idx="3">
                  <c:v>20054200</c:v>
                </c:pt>
                <c:pt idx="4">
                  <c:v>17846350</c:v>
                </c:pt>
                <c:pt idx="5">
                  <c:v>25664500</c:v>
                </c:pt>
                <c:pt idx="6">
                  <c:v>33776500</c:v>
                </c:pt>
                <c:pt idx="7">
                  <c:v>19911000</c:v>
                </c:pt>
                <c:pt idx="8">
                  <c:v>42028450</c:v>
                </c:pt>
                <c:pt idx="9">
                  <c:v>34703050</c:v>
                </c:pt>
                <c:pt idx="10">
                  <c:v>15014200</c:v>
                </c:pt>
                <c:pt idx="11">
                  <c:v>64569600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56-402D-9B09-BB20E54779BE}"/>
            </c:ext>
          </c:extLst>
        </c:ser>
        <c:ser>
          <c:idx val="1"/>
          <c:order val="1"/>
          <c:tx>
            <c:strRef>
              <c:f>'PT Thời gian'!$E$5</c:f>
              <c:strCache>
                <c:ptCount val="1"/>
                <c:pt idx="0">
                  <c:v>Lợi nhuận (VNĐ)</c:v>
                </c:pt>
              </c:strCache>
            </c:strRef>
          </c:tx>
          <c:spPr>
            <a:solidFill>
              <a:srgbClr val="8FAADC"/>
            </a:solidFill>
            <a:ln w="0">
              <a:solidFill>
                <a:srgbClr val="8FAAD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vi-V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'PT Thời gian'!$A$6:$A$17</c:f>
              <c:strCache>
                <c:ptCount val="12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  <c:pt idx="6">
                  <c:v>Tháng 7</c:v>
                </c:pt>
                <c:pt idx="7">
                  <c:v>Tháng 8</c:v>
                </c:pt>
                <c:pt idx="8">
                  <c:v>Tháng 9</c:v>
                </c:pt>
                <c:pt idx="9">
                  <c:v>Tháng 10</c:v>
                </c:pt>
                <c:pt idx="10">
                  <c:v>Tháng 11</c:v>
                </c:pt>
                <c:pt idx="11">
                  <c:v>Tháng 12</c:v>
                </c:pt>
              </c:strCache>
            </c:strRef>
          </c:cat>
          <c:val>
            <c:numRef>
              <c:f>'PT Thời gian'!$E$6:$E$17</c:f>
              <c:numCache>
                <c:formatCode>#,##0</c:formatCode>
                <c:ptCount val="12"/>
                <c:pt idx="0">
                  <c:v>4725600</c:v>
                </c:pt>
                <c:pt idx="1">
                  <c:v>3800700</c:v>
                </c:pt>
                <c:pt idx="2">
                  <c:v>15906500</c:v>
                </c:pt>
                <c:pt idx="3">
                  <c:v>7844200</c:v>
                </c:pt>
                <c:pt idx="4">
                  <c:v>7896350</c:v>
                </c:pt>
                <c:pt idx="5">
                  <c:v>11494500</c:v>
                </c:pt>
                <c:pt idx="6">
                  <c:v>12676500</c:v>
                </c:pt>
                <c:pt idx="7">
                  <c:v>7441000</c:v>
                </c:pt>
                <c:pt idx="8">
                  <c:v>15618450</c:v>
                </c:pt>
                <c:pt idx="9">
                  <c:v>13223050</c:v>
                </c:pt>
                <c:pt idx="10">
                  <c:v>5874200</c:v>
                </c:pt>
                <c:pt idx="11">
                  <c:v>24499600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56-402D-9B09-BB20E5477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4937698"/>
        <c:axId val="24945581"/>
      </c:barChart>
      <c:lineChart>
        <c:grouping val="standard"/>
        <c:varyColors val="0"/>
        <c:ser>
          <c:idx val="2"/>
          <c:order val="2"/>
          <c:tx>
            <c:strRef>
              <c:f>'PT Thời gian'!$F$5</c:f>
              <c:strCache>
                <c:ptCount val="1"/>
                <c:pt idx="0">
                  <c:v>Biên LN</c:v>
                </c:pt>
              </c:strCache>
            </c:strRef>
          </c:tx>
          <c:spPr>
            <a:ln w="28080">
              <a:solidFill>
                <a:srgbClr val="ED7D31"/>
              </a:solidFill>
              <a:round/>
            </a:ln>
          </c:spPr>
          <c:marker>
            <c:symbol val="circle"/>
            <c:size val="6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vi-V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'PT Thời gian'!$A$6:$A$17</c:f>
              <c:strCache>
                <c:ptCount val="12"/>
                <c:pt idx="0">
                  <c:v>Tháng 1</c:v>
                </c:pt>
                <c:pt idx="1">
                  <c:v>Tháng 2</c:v>
                </c:pt>
                <c:pt idx="2">
                  <c:v>Tháng 3</c:v>
                </c:pt>
                <c:pt idx="3">
                  <c:v>Tháng 4</c:v>
                </c:pt>
                <c:pt idx="4">
                  <c:v>Tháng 5</c:v>
                </c:pt>
                <c:pt idx="5">
                  <c:v>Tháng 6</c:v>
                </c:pt>
                <c:pt idx="6">
                  <c:v>Tháng 7</c:v>
                </c:pt>
                <c:pt idx="7">
                  <c:v>Tháng 8</c:v>
                </c:pt>
                <c:pt idx="8">
                  <c:v>Tháng 9</c:v>
                </c:pt>
                <c:pt idx="9">
                  <c:v>Tháng 10</c:v>
                </c:pt>
                <c:pt idx="10">
                  <c:v>Tháng 11</c:v>
                </c:pt>
                <c:pt idx="11">
                  <c:v>Tháng 12</c:v>
                </c:pt>
              </c:strCache>
            </c:strRef>
          </c:cat>
          <c:val>
            <c:numRef>
              <c:f>'PT Thời gian'!$F$6:$F$17</c:f>
              <c:numCache>
                <c:formatCode>0.0%</c:formatCode>
                <c:ptCount val="12"/>
                <c:pt idx="0">
                  <c:v>0.37878739299111869</c:v>
                </c:pt>
                <c:pt idx="1">
                  <c:v>0.3858304485975616</c:v>
                </c:pt>
                <c:pt idx="2">
                  <c:v>0.31581507549660987</c:v>
                </c:pt>
                <c:pt idx="3">
                  <c:v>0.39114998354459413</c:v>
                </c:pt>
                <c:pt idx="4">
                  <c:v>0.44246302465209975</c:v>
                </c:pt>
                <c:pt idx="5">
                  <c:v>0.4478754700072084</c:v>
                </c:pt>
                <c:pt idx="6">
                  <c:v>0.37530531582609211</c:v>
                </c:pt>
                <c:pt idx="7">
                  <c:v>0.37371302295213699</c:v>
                </c:pt>
                <c:pt idx="8">
                  <c:v>0.37161613145381284</c:v>
                </c:pt>
                <c:pt idx="9">
                  <c:v>0.38103423186146462</c:v>
                </c:pt>
                <c:pt idx="10">
                  <c:v>0.39124295666768794</c:v>
                </c:pt>
                <c:pt idx="11">
                  <c:v>0.37942932897214787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56-402D-9B09-BB20E5477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21910773"/>
        <c:axId val="8507045"/>
      </c:lineChart>
      <c:catAx>
        <c:axId val="249376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24945581"/>
        <c:crosses val="autoZero"/>
        <c:auto val="1"/>
        <c:lblAlgn val="ctr"/>
        <c:lblOffset val="100"/>
        <c:noMultiLvlLbl val="0"/>
      </c:catAx>
      <c:valAx>
        <c:axId val="249455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vi-VN" sz="1000" b="1" strike="noStrike" spc="-1">
                    <a:solidFill>
                      <a:srgbClr val="000000"/>
                    </a:solidFill>
                    <a:latin typeface="Calibri"/>
                  </a:rPr>
                  <a:t>Triệu VNĐ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24937698"/>
        <c:crosses val="autoZero"/>
        <c:crossBetween val="between"/>
      </c:valAx>
      <c:catAx>
        <c:axId val="219107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8507045"/>
        <c:crosses val="autoZero"/>
        <c:auto val="1"/>
        <c:lblAlgn val="ctr"/>
        <c:lblOffset val="100"/>
        <c:noMultiLvlLbl val="0"/>
      </c:catAx>
      <c:valAx>
        <c:axId val="8507045"/>
        <c:scaling>
          <c:orientation val="minMax"/>
          <c:max val="0.7"/>
          <c:min val="0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vi-VN" sz="1000" b="1" strike="noStrike" spc="-1">
                    <a:solidFill>
                      <a:srgbClr val="000000"/>
                    </a:solidFill>
                    <a:latin typeface="Calibri"/>
                  </a:rPr>
                  <a:t>Biên lợi nhuận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21910773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vi-V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vi-VN" sz="1800" b="1" strike="noStrike" spc="-1">
                <a:solidFill>
                  <a:srgbClr val="000000"/>
                </a:solidFill>
                <a:latin typeface="Calibri"/>
              </a:rPr>
              <a:t>Doanh thu theo quý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vi-V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'PT Thời gian'!$A$23:$A$26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'PT Thời gian'!$C$23:$C$26</c:f>
              <c:numCache>
                <c:formatCode>#,##0</c:formatCode>
                <c:ptCount val="4"/>
                <c:pt idx="0">
                  <c:v>72692800</c:v>
                </c:pt>
                <c:pt idx="1">
                  <c:v>63565050</c:v>
                </c:pt>
                <c:pt idx="2">
                  <c:v>95715950</c:v>
                </c:pt>
                <c:pt idx="3">
                  <c:v>114286850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4F-4CE3-B439-6E687560B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74605701"/>
        <c:axId val="86897193"/>
      </c:barChart>
      <c:catAx>
        <c:axId val="746057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86897193"/>
        <c:crosses val="autoZero"/>
        <c:auto val="1"/>
        <c:lblAlgn val="ctr"/>
        <c:lblOffset val="100"/>
        <c:noMultiLvlLbl val="0"/>
      </c:catAx>
      <c:valAx>
        <c:axId val="868971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vi-VN" sz="1000" b="1" strike="noStrike" spc="-1">
                    <a:solidFill>
                      <a:srgbClr val="000000"/>
                    </a:solidFill>
                    <a:latin typeface="Calibri"/>
                  </a:rPr>
                  <a:t>Triệu VNĐ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746057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vi-VN" sz="1800" b="1" strike="noStrike" spc="-1">
                <a:solidFill>
                  <a:srgbClr val="000000"/>
                </a:solidFill>
                <a:latin typeface="Calibri"/>
              </a:rPr>
              <a:t>Cơ cấu doanh thu theo danh mục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125-4E94-846F-38796B992FD5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125-4E94-846F-38796B992FD5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125-4E94-846F-38796B992FD5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125-4E94-846F-38796B992FD5}"/>
              </c:ext>
            </c:extLst>
          </c:dPt>
          <c:dPt>
            <c:idx val="4"/>
            <c:bubble3D val="0"/>
            <c:spPr>
              <a:solidFill>
                <a:srgbClr val="4BACC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A125-4E94-846F-38796B992FD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vi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A125-4E94-846F-38796B992FD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vi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A125-4E94-846F-38796B992FD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vi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A125-4E94-846F-38796B992FD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vi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A125-4E94-846F-38796B992FD5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vi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A125-4E94-846F-38796B992F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vi-VN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'PT Sản phẩm'!$A$6:$A$10</c:f>
              <c:strCache>
                <c:ptCount val="5"/>
                <c:pt idx="0">
                  <c:v>Điện tử</c:v>
                </c:pt>
                <c:pt idx="1">
                  <c:v>Gia dụng</c:v>
                </c:pt>
                <c:pt idx="2">
                  <c:v>Thời trang</c:v>
                </c:pt>
                <c:pt idx="3">
                  <c:v>Mỹ phẩm</c:v>
                </c:pt>
                <c:pt idx="4">
                  <c:v>Thực phẩm</c:v>
                </c:pt>
              </c:strCache>
            </c:strRef>
          </c:cat>
          <c:val>
            <c:numRef>
              <c:f>'PT Sản phẩm'!$D$6:$D$10</c:f>
              <c:numCache>
                <c:formatCode>#,##0</c:formatCode>
                <c:ptCount val="5"/>
                <c:pt idx="0">
                  <c:v>100920800</c:v>
                </c:pt>
                <c:pt idx="1">
                  <c:v>83303300</c:v>
                </c:pt>
                <c:pt idx="2">
                  <c:v>129392600</c:v>
                </c:pt>
                <c:pt idx="3">
                  <c:v>19240500</c:v>
                </c:pt>
                <c:pt idx="4">
                  <c:v>13403450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125-4E94-846F-38796B992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vi-V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vi-VN" sz="1800" b="1" strike="noStrike" spc="-1">
                <a:solidFill>
                  <a:srgbClr val="000000"/>
                </a:solidFill>
                <a:latin typeface="Calibri"/>
              </a:rPr>
              <a:t>Cơ cấu doanh thu theo kênh bán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2A9B-4D4D-9C63-98B492B6A4FD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A9B-4D4D-9C63-98B492B6A4FD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A9B-4D4D-9C63-98B492B6A4FD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2A9B-4D4D-9C63-98B492B6A4FD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vi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2A9B-4D4D-9C63-98B492B6A4FD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vi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2A9B-4D4D-9C63-98B492B6A4FD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vi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2A9B-4D4D-9C63-98B492B6A4FD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vi-VN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2A9B-4D4D-9C63-98B492B6A4F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vi-VN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'PT Khu vực - Kênh'!$A$31:$A$34</c:f>
              <c:strCache>
                <c:ptCount val="4"/>
                <c:pt idx="0">
                  <c:v>Website</c:v>
                </c:pt>
                <c:pt idx="1">
                  <c:v>Sàn TMĐT</c:v>
                </c:pt>
                <c:pt idx="2">
                  <c:v>Cửa hàng</c:v>
                </c:pt>
                <c:pt idx="3">
                  <c:v>Đại lý</c:v>
                </c:pt>
              </c:strCache>
            </c:strRef>
          </c:cat>
          <c:val>
            <c:numRef>
              <c:f>'PT Khu vực - Kênh'!$C$31:$C$34</c:f>
              <c:numCache>
                <c:formatCode>#,##0</c:formatCode>
                <c:ptCount val="4"/>
                <c:pt idx="0">
                  <c:v>138837450</c:v>
                </c:pt>
                <c:pt idx="1">
                  <c:v>74365100</c:v>
                </c:pt>
                <c:pt idx="2">
                  <c:v>83648500</c:v>
                </c:pt>
                <c:pt idx="3">
                  <c:v>49409600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9B-4D4D-9C63-98B492B6A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vi-V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vi-VN" sz="1800" b="1" strike="noStrike" spc="-1">
                <a:solidFill>
                  <a:srgbClr val="000000"/>
                </a:solidFill>
                <a:latin typeface="Calibri"/>
              </a:rPr>
              <a:t>Doanh thu và lợi nhuận theo khu vực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 Khu vực - Kênh'!$C$5</c:f>
              <c:strCache>
                <c:ptCount val="1"/>
                <c:pt idx="0">
                  <c:v>Doanh thu (VNĐ)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vi-V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'PT Khu vực - Kênh'!$A$6:$A$8</c:f>
              <c:strCache>
                <c:ptCount val="3"/>
                <c:pt idx="0">
                  <c:v>Miền Bắc</c:v>
                </c:pt>
                <c:pt idx="1">
                  <c:v>Miền Trung</c:v>
                </c:pt>
                <c:pt idx="2">
                  <c:v>Miền Nam</c:v>
                </c:pt>
              </c:strCache>
            </c:strRef>
          </c:cat>
          <c:val>
            <c:numRef>
              <c:f>'PT Khu vực - Kênh'!$C$6:$C$8</c:f>
              <c:numCache>
                <c:formatCode>#,##0</c:formatCode>
                <c:ptCount val="3"/>
                <c:pt idx="0">
                  <c:v>146116400</c:v>
                </c:pt>
                <c:pt idx="1">
                  <c:v>41500500</c:v>
                </c:pt>
                <c:pt idx="2">
                  <c:v>158643750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A-4CD7-ADB4-756F1AE2E431}"/>
            </c:ext>
          </c:extLst>
        </c:ser>
        <c:ser>
          <c:idx val="1"/>
          <c:order val="1"/>
          <c:tx>
            <c:strRef>
              <c:f>'PT Khu vực - Kênh'!$E$5</c:f>
              <c:strCache>
                <c:ptCount val="1"/>
                <c:pt idx="0">
                  <c:v>Lợi nhuận (VNĐ)</c:v>
                </c:pt>
              </c:strCache>
            </c:strRef>
          </c:tx>
          <c:spPr>
            <a:solidFill>
              <a:srgbClr val="8FAADC"/>
            </a:solidFill>
            <a:ln w="0">
              <a:solidFill>
                <a:srgbClr val="8FAAD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vi-V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'PT Khu vực - Kênh'!$A$6:$A$8</c:f>
              <c:strCache>
                <c:ptCount val="3"/>
                <c:pt idx="0">
                  <c:v>Miền Bắc</c:v>
                </c:pt>
                <c:pt idx="1">
                  <c:v>Miền Trung</c:v>
                </c:pt>
                <c:pt idx="2">
                  <c:v>Miền Nam</c:v>
                </c:pt>
              </c:strCache>
            </c:strRef>
          </c:cat>
          <c:val>
            <c:numRef>
              <c:f>'PT Khu vực - Kênh'!$E$6:$E$8</c:f>
              <c:numCache>
                <c:formatCode>#,##0</c:formatCode>
                <c:ptCount val="3"/>
                <c:pt idx="0">
                  <c:v>54486400</c:v>
                </c:pt>
                <c:pt idx="1">
                  <c:v>15890500</c:v>
                </c:pt>
                <c:pt idx="2">
                  <c:v>60623750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6A-4CD7-ADB4-756F1AE2E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38653234"/>
        <c:axId val="84740695"/>
      </c:barChart>
      <c:catAx>
        <c:axId val="3865323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84740695"/>
        <c:crosses val="autoZero"/>
        <c:auto val="1"/>
        <c:lblAlgn val="ctr"/>
        <c:lblOffset val="100"/>
        <c:noMultiLvlLbl val="0"/>
      </c:catAx>
      <c:valAx>
        <c:axId val="847406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vi-VN" sz="1000" b="1" strike="noStrike" spc="-1">
                    <a:solidFill>
                      <a:srgbClr val="000000"/>
                    </a:solidFill>
                    <a:latin typeface="Calibri"/>
                  </a:rPr>
                  <a:t>Triệu VNĐ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386532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vi-VN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vi-VN" sz="1800" b="1" strike="noStrike" spc="-1">
                <a:solidFill>
                  <a:srgbClr val="000000"/>
                </a:solidFill>
                <a:latin typeface="Calibri"/>
              </a:rPr>
              <a:t>Top 10 sản phẩm theo doanh thu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F5597"/>
            </a:solidFill>
            <a:ln w="0">
              <a:solidFill>
                <a:srgbClr val="2F559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vi-V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'PT Sản phẩm'!$B$38:$B$47</c:f>
              <c:strCache>
                <c:ptCount val="10"/>
                <c:pt idx="0">
                  <c:v>Túi xách nữ</c:v>
                </c:pt>
                <c:pt idx="1">
                  <c:v>Loa thông minh</c:v>
                </c:pt>
                <c:pt idx="2">
                  <c:v>Nồi chiên không dầu</c:v>
                </c:pt>
                <c:pt idx="3">
                  <c:v>Giày thể thao</c:v>
                </c:pt>
                <c:pt idx="4">
                  <c:v>Áo khoác gió</c:v>
                </c:pt>
                <c:pt idx="5">
                  <c:v>Bàn phím cơ</c:v>
                </c:pt>
                <c:pt idx="6">
                  <c:v>Máy hút bụi mini</c:v>
                </c:pt>
                <c:pt idx="7">
                  <c:v>Máy xay sinh tố</c:v>
                </c:pt>
                <c:pt idx="8">
                  <c:v>Tai nghe Bluetooth</c:v>
                </c:pt>
                <c:pt idx="9">
                  <c:v>Chuột không dây</c:v>
                </c:pt>
              </c:strCache>
            </c:strRef>
          </c:cat>
          <c:val>
            <c:numRef>
              <c:f>'PT Sản phẩm'!$C$38:$C$47</c:f>
              <c:numCache>
                <c:formatCode>#,##0</c:formatCode>
                <c:ptCount val="10"/>
                <c:pt idx="0">
                  <c:v>55785000</c:v>
                </c:pt>
                <c:pt idx="1">
                  <c:v>42892500</c:v>
                </c:pt>
                <c:pt idx="2">
                  <c:v>40296000</c:v>
                </c:pt>
                <c:pt idx="3">
                  <c:v>37222500</c:v>
                </c:pt>
                <c:pt idx="4">
                  <c:v>29821900</c:v>
                </c:pt>
                <c:pt idx="5">
                  <c:v>29013000</c:v>
                </c:pt>
                <c:pt idx="6">
                  <c:v>20320000</c:v>
                </c:pt>
                <c:pt idx="7">
                  <c:v>16949100</c:v>
                </c:pt>
                <c:pt idx="8">
                  <c:v>10812800</c:v>
                </c:pt>
                <c:pt idx="9">
                  <c:v>9422800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D-44EB-B7CD-ED565606F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21756918"/>
        <c:axId val="98773804"/>
      </c:barChart>
      <c:catAx>
        <c:axId val="2175691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98773804"/>
        <c:crosses val="autoZero"/>
        <c:auto val="1"/>
        <c:lblAlgn val="ctr"/>
        <c:lblOffset val="100"/>
        <c:noMultiLvlLbl val="0"/>
      </c:catAx>
      <c:valAx>
        <c:axId val="98773804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vi-VN" sz="1000" b="1" strike="noStrike" spc="-1">
                    <a:solidFill>
                      <a:srgbClr val="000000"/>
                    </a:solidFill>
                    <a:latin typeface="Calibri"/>
                  </a:rPr>
                  <a:t>Triệu VNĐ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217569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vi-VN" sz="1800" b="1" strike="noStrike" spc="-1">
                <a:solidFill>
                  <a:srgbClr val="000000"/>
                </a:solidFill>
                <a:latin typeface="Calibri"/>
              </a:rPr>
              <a:t>Doanh thu theo nhân viên bán hàng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F5597"/>
            </a:solidFill>
            <a:ln w="0">
              <a:solidFill>
                <a:srgbClr val="2F5597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vi-VN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'PT Khách hàng - NV'!$A$12:$A$19</c:f>
              <c:strCache>
                <c:ptCount val="8"/>
                <c:pt idx="0">
                  <c:v>Nguyễn Minh Anh</c:v>
                </c:pt>
                <c:pt idx="1">
                  <c:v>Trần Quốc Bảo</c:v>
                </c:pt>
                <c:pt idx="2">
                  <c:v>Lê Thu Hà</c:v>
                </c:pt>
                <c:pt idx="3">
                  <c:v>Phạm Đức Huy</c:v>
                </c:pt>
                <c:pt idx="4">
                  <c:v>Võ Ngọc Lan</c:v>
                </c:pt>
                <c:pt idx="5">
                  <c:v>Đặng Hoàng Nam</c:v>
                </c:pt>
                <c:pt idx="6">
                  <c:v>Bùi Thanh Tùng</c:v>
                </c:pt>
                <c:pt idx="7">
                  <c:v>Hoàng Mai Linh</c:v>
                </c:pt>
              </c:strCache>
            </c:strRef>
          </c:cat>
          <c:val>
            <c:numRef>
              <c:f>'PT Khách hàng - NV'!$C$12:$C$19</c:f>
              <c:numCache>
                <c:formatCode>#,##0</c:formatCode>
                <c:ptCount val="8"/>
                <c:pt idx="0">
                  <c:v>41556500</c:v>
                </c:pt>
                <c:pt idx="1">
                  <c:v>68950500</c:v>
                </c:pt>
                <c:pt idx="2">
                  <c:v>51575500</c:v>
                </c:pt>
                <c:pt idx="3">
                  <c:v>61773800</c:v>
                </c:pt>
                <c:pt idx="4">
                  <c:v>32075000</c:v>
                </c:pt>
                <c:pt idx="5">
                  <c:v>36328300</c:v>
                </c:pt>
                <c:pt idx="6">
                  <c:v>15916800</c:v>
                </c:pt>
                <c:pt idx="7">
                  <c:v>32852750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AA-43C4-9137-64993D833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766414"/>
        <c:axId val="55200097"/>
      </c:barChart>
      <c:catAx>
        <c:axId val="176641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55200097"/>
        <c:crosses val="autoZero"/>
        <c:auto val="1"/>
        <c:lblAlgn val="ctr"/>
        <c:lblOffset val="100"/>
        <c:noMultiLvlLbl val="0"/>
      </c:catAx>
      <c:valAx>
        <c:axId val="55200097"/>
        <c:scaling>
          <c:orientation val="minMax"/>
        </c:scaling>
        <c:delete val="0"/>
        <c:axPos val="t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vi-VN" sz="1000" b="1" strike="noStrike" spc="-1">
                    <a:solidFill>
                      <a:srgbClr val="000000"/>
                    </a:solidFill>
                    <a:latin typeface="Calibri"/>
                  </a:rPr>
                  <a:t>Triệu VNĐ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,,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17664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vi-VN" sz="1800" b="1" strike="noStrike" spc="-1">
                <a:solidFill>
                  <a:srgbClr val="000000"/>
                </a:solidFill>
                <a:latin typeface="Calibri"/>
              </a:rPr>
              <a:t>Biên lợi nhuận theo mức giảm giá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ED7D31"/>
            </a:solidFill>
            <a:ln w="0">
              <a:solidFill>
                <a:srgbClr val="ED7D31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vi-V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'PT Sản phẩm'!$A$51:$A$55</c:f>
              <c:numCache>
                <c:formatCode>0%</c:formatCode>
                <c:ptCount val="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</c:numCache>
            </c:numRef>
          </c:cat>
          <c:val>
            <c:numRef>
              <c:f>'PT Sản phẩm'!$E$51:$E$55</c:f>
              <c:numCache>
                <c:formatCode>0.0%</c:formatCode>
                <c:ptCount val="5"/>
                <c:pt idx="0">
                  <c:v>0.43577299938707481</c:v>
                </c:pt>
                <c:pt idx="1">
                  <c:v>0.39650191536331786</c:v>
                </c:pt>
                <c:pt idx="2">
                  <c:v>0.36235553367559836</c:v>
                </c:pt>
                <c:pt idx="3">
                  <c:v>0.30551789617027725</c:v>
                </c:pt>
                <c:pt idx="4">
                  <c:v>0.30198973042362004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EC-415D-8FD3-8433EF03A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84827122"/>
        <c:axId val="13223840"/>
      </c:barChart>
      <c:catAx>
        <c:axId val="84827122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13223840"/>
        <c:crosses val="autoZero"/>
        <c:auto val="1"/>
        <c:lblAlgn val="ctr"/>
        <c:lblOffset val="100"/>
        <c:noMultiLvlLbl val="0"/>
      </c:catAx>
      <c:valAx>
        <c:axId val="132238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vi-VN" sz="1000" b="1" strike="noStrike" spc="-1">
                    <a:solidFill>
                      <a:srgbClr val="000000"/>
                    </a:solidFill>
                    <a:latin typeface="Calibri"/>
                  </a:rPr>
                  <a:t>Biên LN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vi-VN"/>
          </a:p>
        </c:txPr>
        <c:crossAx val="848271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14</xdr:col>
      <xdr:colOff>147600</xdr:colOff>
      <xdr:row>14</xdr:row>
      <xdr:rowOff>146880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20</xdr:row>
      <xdr:rowOff>0</xdr:rowOff>
    </xdr:from>
    <xdr:to>
      <xdr:col>14</xdr:col>
      <xdr:colOff>147600</xdr:colOff>
      <xdr:row>32</xdr:row>
      <xdr:rowOff>146880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20</xdr:col>
      <xdr:colOff>4680</xdr:colOff>
      <xdr:row>16</xdr:row>
      <xdr:rowOff>136440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4680</xdr:colOff>
      <xdr:row>31</xdr:row>
      <xdr:rowOff>70560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17</xdr:col>
      <xdr:colOff>147600</xdr:colOff>
      <xdr:row>14</xdr:row>
      <xdr:rowOff>70920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20</xdr:row>
      <xdr:rowOff>0</xdr:rowOff>
    </xdr:from>
    <xdr:to>
      <xdr:col>17</xdr:col>
      <xdr:colOff>507600</xdr:colOff>
      <xdr:row>36</xdr:row>
      <xdr:rowOff>134280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39</xdr:row>
      <xdr:rowOff>0</xdr:rowOff>
    </xdr:from>
    <xdr:to>
      <xdr:col>17</xdr:col>
      <xdr:colOff>507600</xdr:colOff>
      <xdr:row>51</xdr:row>
      <xdr:rowOff>34560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3</xdr:row>
      <xdr:rowOff>0</xdr:rowOff>
    </xdr:from>
    <xdr:to>
      <xdr:col>17</xdr:col>
      <xdr:colOff>147600</xdr:colOff>
      <xdr:row>14</xdr:row>
      <xdr:rowOff>70920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20</xdr:row>
      <xdr:rowOff>0</xdr:rowOff>
    </xdr:from>
    <xdr:to>
      <xdr:col>17</xdr:col>
      <xdr:colOff>147600</xdr:colOff>
      <xdr:row>32</xdr:row>
      <xdr:rowOff>146880</xdr:rowOff>
    </xdr:to>
    <xdr:graphicFrame macro="">
      <xdr:nvGraphicFramePr>
        <xdr:cNvPr id="8" name="Chart 2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3</xdr:row>
      <xdr:rowOff>0</xdr:rowOff>
    </xdr:from>
    <xdr:to>
      <xdr:col>18</xdr:col>
      <xdr:colOff>507600</xdr:colOff>
      <xdr:row>15</xdr:row>
      <xdr:rowOff>60480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21</xdr:row>
      <xdr:rowOff>0</xdr:rowOff>
    </xdr:from>
    <xdr:to>
      <xdr:col>18</xdr:col>
      <xdr:colOff>507600</xdr:colOff>
      <xdr:row>33</xdr:row>
      <xdr:rowOff>146880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6</xdr:col>
      <xdr:colOff>890280</xdr:colOff>
      <xdr:row>23</xdr:row>
      <xdr:rowOff>68400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9</xdr:row>
      <xdr:rowOff>0</xdr:rowOff>
    </xdr:from>
    <xdr:to>
      <xdr:col>12</xdr:col>
      <xdr:colOff>889920</xdr:colOff>
      <xdr:row>23</xdr:row>
      <xdr:rowOff>68400</xdr:rowOff>
    </xdr:to>
    <xdr:graphicFrame macro="">
      <xdr:nvGraphicFramePr>
        <xdr:cNvPr id="12" name="Chart 2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25</xdr:row>
      <xdr:rowOff>0</xdr:rowOff>
    </xdr:from>
    <xdr:to>
      <xdr:col>6</xdr:col>
      <xdr:colOff>890280</xdr:colOff>
      <xdr:row>39</xdr:row>
      <xdr:rowOff>68760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25</xdr:row>
      <xdr:rowOff>0</xdr:rowOff>
    </xdr:from>
    <xdr:to>
      <xdr:col>12</xdr:col>
      <xdr:colOff>889920</xdr:colOff>
      <xdr:row>39</xdr:row>
      <xdr:rowOff>68760</xdr:rowOff>
    </xdr:to>
    <xdr:graphicFrame macro="">
      <xdr:nvGraphicFramePr>
        <xdr:cNvPr id="14" name="Chart 4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41</xdr:row>
      <xdr:rowOff>0</xdr:rowOff>
    </xdr:from>
    <xdr:to>
      <xdr:col>6</xdr:col>
      <xdr:colOff>890280</xdr:colOff>
      <xdr:row>55</xdr:row>
      <xdr:rowOff>68760</xdr:rowOff>
    </xdr:to>
    <xdr:graphicFrame macro="">
      <xdr:nvGraphicFramePr>
        <xdr:cNvPr id="15" name="Chart 5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7</xdr:col>
      <xdr:colOff>0</xdr:colOff>
      <xdr:row>41</xdr:row>
      <xdr:rowOff>0</xdr:rowOff>
    </xdr:from>
    <xdr:to>
      <xdr:col>12</xdr:col>
      <xdr:colOff>889920</xdr:colOff>
      <xdr:row>55</xdr:row>
      <xdr:rowOff>68760</xdr:rowOff>
    </xdr:to>
    <xdr:graphicFrame macro="">
      <xdr:nvGraphicFramePr>
        <xdr:cNvPr id="16" name="Chart 6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57</xdr:row>
      <xdr:rowOff>0</xdr:rowOff>
    </xdr:from>
    <xdr:to>
      <xdr:col>6</xdr:col>
      <xdr:colOff>890280</xdr:colOff>
      <xdr:row>71</xdr:row>
      <xdr:rowOff>68400</xdr:rowOff>
    </xdr:to>
    <xdr:graphicFrame macro="">
      <xdr:nvGraphicFramePr>
        <xdr:cNvPr id="17" name="Chart 7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7</xdr:col>
      <xdr:colOff>0</xdr:colOff>
      <xdr:row>57</xdr:row>
      <xdr:rowOff>0</xdr:rowOff>
    </xdr:from>
    <xdr:to>
      <xdr:col>12</xdr:col>
      <xdr:colOff>889920</xdr:colOff>
      <xdr:row>71</xdr:row>
      <xdr:rowOff>68400</xdr:rowOff>
    </xdr:to>
    <xdr:graphicFrame macro="">
      <xdr:nvGraphicFramePr>
        <xdr:cNvPr id="18" name="Chart 8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R207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" width="15" customWidth="1"/>
    <col min="2" max="2" width="14" customWidth="1"/>
    <col min="3" max="3" width="9" customWidth="1"/>
    <col min="4" max="4" width="24" customWidth="1"/>
    <col min="5" max="6" width="14" customWidth="1"/>
    <col min="7" max="7" width="17" customWidth="1"/>
    <col min="8" max="8" width="13" customWidth="1"/>
    <col min="9" max="9" width="25" customWidth="1"/>
    <col min="10" max="10" width="12" customWidth="1"/>
    <col min="11" max="11" width="21" customWidth="1"/>
    <col min="12" max="12" width="10" customWidth="1"/>
    <col min="13" max="13" width="15" customWidth="1"/>
    <col min="14" max="14" width="10" customWidth="1"/>
    <col min="15" max="15" width="17" customWidth="1"/>
    <col min="16" max="16" width="13" customWidth="1"/>
    <col min="18" max="18" width="52" customWidth="1"/>
  </cols>
  <sheetData>
    <row r="1" spans="1:18" ht="31.5" customHeight="1" x14ac:dyDescent="0.35">
      <c r="A1" s="9" t="s">
        <v>1</v>
      </c>
      <c r="B1" s="9" t="s">
        <v>3</v>
      </c>
      <c r="C1" s="9" t="s">
        <v>7</v>
      </c>
      <c r="D1" s="9" t="s">
        <v>9</v>
      </c>
      <c r="E1" s="9" t="s">
        <v>11</v>
      </c>
      <c r="F1" s="9" t="s">
        <v>13</v>
      </c>
      <c r="G1" s="9" t="s">
        <v>15</v>
      </c>
      <c r="H1" s="9" t="s">
        <v>17</v>
      </c>
      <c r="I1" s="9" t="s">
        <v>19</v>
      </c>
      <c r="J1" s="9" t="s">
        <v>21</v>
      </c>
      <c r="K1" s="9" t="s">
        <v>23</v>
      </c>
      <c r="L1" s="9" t="s">
        <v>25</v>
      </c>
      <c r="M1" s="9" t="s">
        <v>26</v>
      </c>
      <c r="N1" s="9" t="s">
        <v>35</v>
      </c>
      <c r="O1" s="9" t="s">
        <v>28</v>
      </c>
      <c r="P1" s="9" t="s">
        <v>29</v>
      </c>
      <c r="R1" s="12" t="s">
        <v>36</v>
      </c>
    </row>
    <row r="2" spans="1:18" x14ac:dyDescent="0.35">
      <c r="A2" s="11" t="s">
        <v>2</v>
      </c>
      <c r="B2" s="13" t="s">
        <v>37</v>
      </c>
      <c r="C2" s="11" t="s">
        <v>38</v>
      </c>
      <c r="D2" s="11" t="s">
        <v>39</v>
      </c>
      <c r="E2" s="11" t="s">
        <v>40</v>
      </c>
      <c r="F2" s="11" t="s">
        <v>41</v>
      </c>
      <c r="G2" s="11" t="s">
        <v>42</v>
      </c>
      <c r="H2" s="11" t="s">
        <v>43</v>
      </c>
      <c r="I2" s="11" t="s">
        <v>44</v>
      </c>
      <c r="J2" s="11" t="s">
        <v>22</v>
      </c>
      <c r="K2" s="11" t="s">
        <v>24</v>
      </c>
      <c r="L2" s="11">
        <v>2</v>
      </c>
      <c r="M2" s="14">
        <v>588000</v>
      </c>
      <c r="N2" s="15">
        <v>0.15</v>
      </c>
      <c r="O2" s="14">
        <v>260000</v>
      </c>
      <c r="P2" s="11" t="s">
        <v>30</v>
      </c>
      <c r="R2" s="16" t="s">
        <v>45</v>
      </c>
    </row>
    <row r="3" spans="1:18" x14ac:dyDescent="0.35">
      <c r="A3" s="11" t="s">
        <v>46</v>
      </c>
      <c r="B3" s="17">
        <v>45666</v>
      </c>
      <c r="C3" s="11" t="s">
        <v>38</v>
      </c>
      <c r="D3" s="11" t="s">
        <v>39</v>
      </c>
      <c r="E3" s="11" t="s">
        <v>40</v>
      </c>
      <c r="F3" s="18" t="s">
        <v>47</v>
      </c>
      <c r="G3" s="11" t="s">
        <v>42</v>
      </c>
      <c r="H3" s="11" t="s">
        <v>43</v>
      </c>
      <c r="I3" s="11" t="s">
        <v>48</v>
      </c>
      <c r="J3" s="11" t="s">
        <v>22</v>
      </c>
      <c r="K3" s="11" t="s">
        <v>49</v>
      </c>
      <c r="L3" s="11">
        <v>3</v>
      </c>
      <c r="M3" s="14">
        <v>290000</v>
      </c>
      <c r="N3" s="15">
        <v>0.1</v>
      </c>
      <c r="O3" s="14">
        <v>120000</v>
      </c>
      <c r="P3" s="11" t="s">
        <v>30</v>
      </c>
      <c r="R3" s="19" t="s">
        <v>50</v>
      </c>
    </row>
    <row r="4" spans="1:18" x14ac:dyDescent="0.35">
      <c r="A4" s="11" t="s">
        <v>51</v>
      </c>
      <c r="B4" s="17">
        <v>45667</v>
      </c>
      <c r="C4" s="11" t="s">
        <v>52</v>
      </c>
      <c r="D4" s="11" t="s">
        <v>53</v>
      </c>
      <c r="E4" s="11" t="s">
        <v>40</v>
      </c>
      <c r="F4" s="11" t="s">
        <v>41</v>
      </c>
      <c r="G4" s="11" t="s">
        <v>42</v>
      </c>
      <c r="H4" s="11" t="s">
        <v>54</v>
      </c>
      <c r="I4" s="11" t="s">
        <v>55</v>
      </c>
      <c r="J4" s="11" t="s">
        <v>56</v>
      </c>
      <c r="K4" s="11" t="s">
        <v>57</v>
      </c>
      <c r="L4" s="11">
        <v>1</v>
      </c>
      <c r="M4" s="14">
        <v>892000</v>
      </c>
      <c r="N4" s="15">
        <v>0.2</v>
      </c>
      <c r="O4" s="14">
        <v>520000</v>
      </c>
      <c r="P4" s="11" t="s">
        <v>58</v>
      </c>
      <c r="R4" s="20" t="s">
        <v>59</v>
      </c>
    </row>
    <row r="5" spans="1:18" x14ac:dyDescent="0.35">
      <c r="A5" s="11" t="s">
        <v>60</v>
      </c>
      <c r="B5" s="17">
        <v>45669</v>
      </c>
      <c r="C5" s="11" t="s">
        <v>61</v>
      </c>
      <c r="D5" s="11" t="s">
        <v>62</v>
      </c>
      <c r="E5" s="11" t="s">
        <v>40</v>
      </c>
      <c r="F5" s="11" t="s">
        <v>63</v>
      </c>
      <c r="G5" s="11" t="s">
        <v>64</v>
      </c>
      <c r="H5" s="11" t="s">
        <v>65</v>
      </c>
      <c r="I5" s="11" t="s">
        <v>66</v>
      </c>
      <c r="J5" s="11" t="s">
        <v>56</v>
      </c>
      <c r="K5" s="11" t="s">
        <v>24</v>
      </c>
      <c r="L5" s="11">
        <v>1</v>
      </c>
      <c r="M5" s="14">
        <v>520000</v>
      </c>
      <c r="N5" s="15">
        <v>0</v>
      </c>
      <c r="O5" s="14">
        <v>310000</v>
      </c>
      <c r="P5" s="11" t="s">
        <v>30</v>
      </c>
    </row>
    <row r="6" spans="1:18" x14ac:dyDescent="0.35">
      <c r="A6" s="11" t="s">
        <v>67</v>
      </c>
      <c r="B6" s="17">
        <v>45670</v>
      </c>
      <c r="C6" s="11" t="s">
        <v>68</v>
      </c>
      <c r="D6" s="11" t="s">
        <v>69</v>
      </c>
      <c r="E6" s="11" t="s">
        <v>40</v>
      </c>
      <c r="F6" s="11" t="s">
        <v>14</v>
      </c>
      <c r="G6" s="11" t="s">
        <v>70</v>
      </c>
      <c r="H6" s="11" t="s">
        <v>71</v>
      </c>
      <c r="I6" s="11" t="s">
        <v>72</v>
      </c>
      <c r="J6" s="11" t="s">
        <v>73</v>
      </c>
      <c r="K6" s="11" t="s">
        <v>24</v>
      </c>
      <c r="L6" s="11">
        <v>1</v>
      </c>
      <c r="M6" s="14">
        <v>200000</v>
      </c>
      <c r="N6" s="15">
        <v>0</v>
      </c>
      <c r="O6" s="14">
        <v>120000</v>
      </c>
      <c r="P6" s="11" t="s">
        <v>30</v>
      </c>
    </row>
    <row r="7" spans="1:18" x14ac:dyDescent="0.35">
      <c r="A7" s="11" t="s">
        <v>74</v>
      </c>
      <c r="B7" s="17">
        <v>45674</v>
      </c>
      <c r="C7" s="11" t="s">
        <v>68</v>
      </c>
      <c r="D7" s="11" t="s">
        <v>69</v>
      </c>
      <c r="E7" s="11" t="s">
        <v>40</v>
      </c>
      <c r="F7" s="11" t="s">
        <v>14</v>
      </c>
      <c r="G7" s="11" t="s">
        <v>70</v>
      </c>
      <c r="H7" s="11" t="s">
        <v>54</v>
      </c>
      <c r="I7" s="11" t="s">
        <v>75</v>
      </c>
      <c r="J7" s="11" t="s">
        <v>22</v>
      </c>
      <c r="K7" s="11" t="s">
        <v>76</v>
      </c>
      <c r="L7" s="11">
        <v>1</v>
      </c>
      <c r="M7" s="14">
        <v>1900000</v>
      </c>
      <c r="N7" s="15">
        <v>0</v>
      </c>
      <c r="O7" s="14">
        <v>1200000</v>
      </c>
      <c r="P7" s="11" t="s">
        <v>30</v>
      </c>
    </row>
    <row r="8" spans="1:18" x14ac:dyDescent="0.35">
      <c r="A8" s="11" t="s">
        <v>77</v>
      </c>
      <c r="B8" s="17">
        <v>45676</v>
      </c>
      <c r="C8" s="11" t="s">
        <v>78</v>
      </c>
      <c r="D8" s="11" t="s">
        <v>79</v>
      </c>
      <c r="E8" s="11" t="s">
        <v>40</v>
      </c>
      <c r="F8" s="11" t="s">
        <v>41</v>
      </c>
      <c r="G8" s="11" t="s">
        <v>80</v>
      </c>
      <c r="H8" s="11" t="s">
        <v>71</v>
      </c>
      <c r="I8" s="11" t="s">
        <v>81</v>
      </c>
      <c r="J8" s="11" t="s">
        <v>22</v>
      </c>
      <c r="K8" s="11" t="s">
        <v>82</v>
      </c>
      <c r="L8" s="11">
        <v>1</v>
      </c>
      <c r="M8" s="14">
        <v>340000</v>
      </c>
      <c r="N8" s="15">
        <v>0</v>
      </c>
      <c r="O8" s="14">
        <v>220000</v>
      </c>
      <c r="P8" s="11" t="s">
        <v>30</v>
      </c>
    </row>
    <row r="9" spans="1:18" x14ac:dyDescent="0.35">
      <c r="A9" s="11" t="s">
        <v>83</v>
      </c>
      <c r="B9" s="17">
        <v>45676</v>
      </c>
      <c r="C9" s="11" t="s">
        <v>84</v>
      </c>
      <c r="D9" s="11" t="s">
        <v>85</v>
      </c>
      <c r="E9" s="11" t="s">
        <v>40</v>
      </c>
      <c r="F9" s="11" t="s">
        <v>41</v>
      </c>
      <c r="G9" s="11" t="s">
        <v>86</v>
      </c>
      <c r="H9" s="11" t="s">
        <v>71</v>
      </c>
      <c r="I9" s="11" t="s">
        <v>87</v>
      </c>
      <c r="J9" s="11" t="s">
        <v>73</v>
      </c>
      <c r="K9" s="11" t="s">
        <v>88</v>
      </c>
      <c r="L9" s="11">
        <v>1</v>
      </c>
      <c r="M9" s="14">
        <v>380000</v>
      </c>
      <c r="N9" s="15">
        <v>0.05</v>
      </c>
      <c r="O9" s="14">
        <v>250000</v>
      </c>
      <c r="P9" s="11" t="s">
        <v>30</v>
      </c>
    </row>
    <row r="10" spans="1:18" x14ac:dyDescent="0.35">
      <c r="A10" s="11" t="s">
        <v>89</v>
      </c>
      <c r="B10" s="17">
        <v>45678</v>
      </c>
      <c r="C10" s="11" t="s">
        <v>90</v>
      </c>
      <c r="D10" s="11" t="s">
        <v>91</v>
      </c>
      <c r="E10" s="11" t="s">
        <v>40</v>
      </c>
      <c r="F10" s="11" t="s">
        <v>63</v>
      </c>
      <c r="G10" s="11" t="s">
        <v>92</v>
      </c>
      <c r="H10" s="11" t="s">
        <v>18</v>
      </c>
      <c r="I10" s="11" t="s">
        <v>93</v>
      </c>
      <c r="J10" s="18"/>
      <c r="K10" s="11" t="s">
        <v>57</v>
      </c>
      <c r="L10" s="11">
        <v>1</v>
      </c>
      <c r="M10" s="14">
        <v>1500000</v>
      </c>
      <c r="N10" s="15">
        <v>0.2</v>
      </c>
      <c r="O10" s="14">
        <v>800000</v>
      </c>
      <c r="P10" s="11" t="s">
        <v>30</v>
      </c>
    </row>
    <row r="11" spans="1:18" x14ac:dyDescent="0.35">
      <c r="A11" s="11" t="s">
        <v>94</v>
      </c>
      <c r="B11" s="17">
        <v>45678</v>
      </c>
      <c r="C11" s="11" t="s">
        <v>95</v>
      </c>
      <c r="D11" s="11" t="s">
        <v>10</v>
      </c>
      <c r="E11" s="11" t="s">
        <v>12</v>
      </c>
      <c r="F11" s="11" t="s">
        <v>41</v>
      </c>
      <c r="G11" s="11" t="s">
        <v>42</v>
      </c>
      <c r="H11" s="11" t="s">
        <v>18</v>
      </c>
      <c r="I11" s="11" t="s">
        <v>96</v>
      </c>
      <c r="J11" s="11" t="s">
        <v>97</v>
      </c>
      <c r="K11" s="11" t="s">
        <v>88</v>
      </c>
      <c r="L11" s="11">
        <v>8</v>
      </c>
      <c r="M11" s="14">
        <v>750000</v>
      </c>
      <c r="N11" s="15">
        <v>0.05</v>
      </c>
      <c r="O11" s="14">
        <v>390000</v>
      </c>
      <c r="P11" s="11" t="s">
        <v>98</v>
      </c>
    </row>
    <row r="12" spans="1:18" x14ac:dyDescent="0.35">
      <c r="A12" s="11" t="s">
        <v>99</v>
      </c>
      <c r="B12" s="17">
        <v>45679</v>
      </c>
      <c r="C12" s="11" t="s">
        <v>100</v>
      </c>
      <c r="D12" s="11" t="s">
        <v>101</v>
      </c>
      <c r="E12" s="11" t="s">
        <v>40</v>
      </c>
      <c r="F12" s="11" t="s">
        <v>14</v>
      </c>
      <c r="G12" s="11" t="s">
        <v>16</v>
      </c>
      <c r="H12" s="11" t="s">
        <v>18</v>
      </c>
      <c r="I12" s="11" t="s">
        <v>20</v>
      </c>
      <c r="J12" s="11" t="s">
        <v>22</v>
      </c>
      <c r="K12" s="11" t="s">
        <v>76</v>
      </c>
      <c r="L12" s="11">
        <v>1</v>
      </c>
      <c r="M12" s="14">
        <v>1140000</v>
      </c>
      <c r="N12" s="21">
        <v>10</v>
      </c>
      <c r="O12" s="14">
        <v>620000</v>
      </c>
      <c r="P12" s="11" t="s">
        <v>30</v>
      </c>
    </row>
    <row r="13" spans="1:18" x14ac:dyDescent="0.35">
      <c r="A13" s="11" t="s">
        <v>102</v>
      </c>
      <c r="B13" s="17">
        <v>45681</v>
      </c>
      <c r="C13" s="11" t="s">
        <v>103</v>
      </c>
      <c r="D13" s="11" t="s">
        <v>104</v>
      </c>
      <c r="E13" s="11" t="s">
        <v>40</v>
      </c>
      <c r="F13" s="11" t="s">
        <v>14</v>
      </c>
      <c r="G13" s="11" t="s">
        <v>105</v>
      </c>
      <c r="H13" s="11" t="s">
        <v>43</v>
      </c>
      <c r="I13" s="11" t="s">
        <v>44</v>
      </c>
      <c r="J13" s="11" t="s">
        <v>22</v>
      </c>
      <c r="K13" s="11" t="s">
        <v>106</v>
      </c>
      <c r="L13" s="11">
        <v>2</v>
      </c>
      <c r="M13" s="14">
        <v>588000</v>
      </c>
      <c r="N13" s="15">
        <v>0.1</v>
      </c>
      <c r="O13" s="14">
        <v>260000</v>
      </c>
      <c r="P13" s="11" t="s">
        <v>30</v>
      </c>
    </row>
    <row r="14" spans="1:18" x14ac:dyDescent="0.35">
      <c r="A14" s="11" t="s">
        <v>107</v>
      </c>
      <c r="B14" s="13" t="s">
        <v>108</v>
      </c>
      <c r="C14" s="11" t="s">
        <v>38</v>
      </c>
      <c r="D14" s="11" t="s">
        <v>39</v>
      </c>
      <c r="E14" s="11" t="s">
        <v>40</v>
      </c>
      <c r="F14" s="11" t="s">
        <v>41</v>
      </c>
      <c r="G14" s="11" t="s">
        <v>42</v>
      </c>
      <c r="H14" s="11" t="s">
        <v>65</v>
      </c>
      <c r="I14" s="11" t="s">
        <v>66</v>
      </c>
      <c r="J14" s="11" t="s">
        <v>22</v>
      </c>
      <c r="K14" s="11" t="s">
        <v>88</v>
      </c>
      <c r="L14" s="11">
        <v>1</v>
      </c>
      <c r="M14" s="14">
        <v>520000</v>
      </c>
      <c r="N14" s="15">
        <v>0</v>
      </c>
      <c r="O14" s="14">
        <v>310000</v>
      </c>
      <c r="P14" s="11" t="s">
        <v>98</v>
      </c>
    </row>
    <row r="15" spans="1:18" x14ac:dyDescent="0.35">
      <c r="A15" s="11" t="s">
        <v>109</v>
      </c>
      <c r="B15" s="17">
        <v>45684</v>
      </c>
      <c r="C15" s="11" t="s">
        <v>110</v>
      </c>
      <c r="D15" s="11" t="s">
        <v>111</v>
      </c>
      <c r="E15" s="11" t="s">
        <v>12</v>
      </c>
      <c r="F15" s="11" t="s">
        <v>14</v>
      </c>
      <c r="G15" s="11" t="s">
        <v>70</v>
      </c>
      <c r="H15" s="11" t="s">
        <v>54</v>
      </c>
      <c r="I15" s="11" t="s">
        <v>55</v>
      </c>
      <c r="J15" s="11" t="s">
        <v>97</v>
      </c>
      <c r="K15" s="11" t="s">
        <v>76</v>
      </c>
      <c r="L15" s="11">
        <v>3</v>
      </c>
      <c r="M15" s="14">
        <v>808000</v>
      </c>
      <c r="N15" s="15">
        <v>0.1</v>
      </c>
      <c r="O15" s="14">
        <v>520000</v>
      </c>
      <c r="P15" s="11" t="s">
        <v>30</v>
      </c>
    </row>
    <row r="16" spans="1:18" x14ac:dyDescent="0.35">
      <c r="A16" s="11" t="s">
        <v>112</v>
      </c>
      <c r="B16" s="17">
        <v>45685</v>
      </c>
      <c r="C16" s="11" t="s">
        <v>113</v>
      </c>
      <c r="D16" s="11" t="s">
        <v>114</v>
      </c>
      <c r="E16" s="11" t="s">
        <v>40</v>
      </c>
      <c r="F16" s="11" t="s">
        <v>14</v>
      </c>
      <c r="G16" s="11" t="s">
        <v>70</v>
      </c>
      <c r="H16" s="11" t="s">
        <v>18</v>
      </c>
      <c r="I16" s="11" t="s">
        <v>96</v>
      </c>
      <c r="J16" s="11" t="s">
        <v>56</v>
      </c>
      <c r="K16" s="11" t="s">
        <v>88</v>
      </c>
      <c r="L16" s="11">
        <v>1</v>
      </c>
      <c r="M16" s="14">
        <v>750000</v>
      </c>
      <c r="N16" s="15">
        <v>0</v>
      </c>
      <c r="O16" s="14">
        <v>390000</v>
      </c>
      <c r="P16" s="11" t="s">
        <v>30</v>
      </c>
    </row>
    <row r="17" spans="1:16" x14ac:dyDescent="0.35">
      <c r="A17" s="11" t="s">
        <v>115</v>
      </c>
      <c r="B17" s="17">
        <v>45685</v>
      </c>
      <c r="C17" s="11" t="s">
        <v>61</v>
      </c>
      <c r="D17" s="11" t="s">
        <v>62</v>
      </c>
      <c r="E17" s="11" t="s">
        <v>40</v>
      </c>
      <c r="F17" s="11" t="s">
        <v>63</v>
      </c>
      <c r="G17" s="11" t="s">
        <v>64</v>
      </c>
      <c r="H17" s="11" t="s">
        <v>71</v>
      </c>
      <c r="I17" s="11" t="s">
        <v>81</v>
      </c>
      <c r="J17" s="11" t="s">
        <v>73</v>
      </c>
      <c r="K17" s="11" t="s">
        <v>88</v>
      </c>
      <c r="L17" s="11">
        <v>4</v>
      </c>
      <c r="M17" s="14">
        <v>340000</v>
      </c>
      <c r="N17" s="15">
        <v>0.15</v>
      </c>
      <c r="O17" s="14">
        <v>220000</v>
      </c>
      <c r="P17" s="11" t="s">
        <v>30</v>
      </c>
    </row>
    <row r="18" spans="1:16" x14ac:dyDescent="0.35">
      <c r="A18" s="11" t="s">
        <v>116</v>
      </c>
      <c r="B18" s="13" t="s">
        <v>117</v>
      </c>
      <c r="C18" s="11" t="s">
        <v>118</v>
      </c>
      <c r="D18" s="11" t="s">
        <v>119</v>
      </c>
      <c r="E18" s="11" t="s">
        <v>40</v>
      </c>
      <c r="F18" s="11" t="s">
        <v>14</v>
      </c>
      <c r="G18" s="11" t="s">
        <v>16</v>
      </c>
      <c r="H18" s="11" t="s">
        <v>18</v>
      </c>
      <c r="I18" s="11" t="s">
        <v>120</v>
      </c>
      <c r="J18" s="11" t="s">
        <v>56</v>
      </c>
      <c r="K18" s="11" t="s">
        <v>24</v>
      </c>
      <c r="L18" s="11">
        <v>1</v>
      </c>
      <c r="M18" s="14">
        <v>294000</v>
      </c>
      <c r="N18" s="15">
        <v>0.2</v>
      </c>
      <c r="O18" s="14">
        <v>130000</v>
      </c>
      <c r="P18" s="11" t="s">
        <v>30</v>
      </c>
    </row>
    <row r="19" spans="1:16" x14ac:dyDescent="0.35">
      <c r="A19" s="11" t="s">
        <v>121</v>
      </c>
      <c r="B19" s="17">
        <v>45699</v>
      </c>
      <c r="C19" s="11" t="s">
        <v>122</v>
      </c>
      <c r="D19" s="11" t="s">
        <v>123</v>
      </c>
      <c r="E19" s="11" t="s">
        <v>40</v>
      </c>
      <c r="F19" s="11" t="s">
        <v>14</v>
      </c>
      <c r="G19" s="11" t="s">
        <v>70</v>
      </c>
      <c r="H19" s="11" t="s">
        <v>18</v>
      </c>
      <c r="I19" s="11" t="s">
        <v>20</v>
      </c>
      <c r="J19" s="11" t="s">
        <v>22</v>
      </c>
      <c r="K19" s="18"/>
      <c r="L19" s="11">
        <v>4</v>
      </c>
      <c r="M19" s="14">
        <v>1200000</v>
      </c>
      <c r="N19" s="15">
        <v>0.05</v>
      </c>
      <c r="O19" s="14">
        <v>620000</v>
      </c>
      <c r="P19" s="11" t="s">
        <v>30</v>
      </c>
    </row>
    <row r="20" spans="1:16" x14ac:dyDescent="0.35">
      <c r="A20" s="11" t="s">
        <v>124</v>
      </c>
      <c r="B20" s="17">
        <v>45700</v>
      </c>
      <c r="C20" s="11" t="s">
        <v>125</v>
      </c>
      <c r="D20" s="11" t="s">
        <v>126</v>
      </c>
      <c r="E20" s="11" t="s">
        <v>40</v>
      </c>
      <c r="F20" s="11" t="s">
        <v>63</v>
      </c>
      <c r="G20" s="11" t="s">
        <v>92</v>
      </c>
      <c r="H20" s="11" t="s">
        <v>43</v>
      </c>
      <c r="I20" s="11" t="s">
        <v>127</v>
      </c>
      <c r="J20" s="11" t="s">
        <v>56</v>
      </c>
      <c r="K20" s="11" t="s">
        <v>82</v>
      </c>
      <c r="L20" s="11">
        <v>1</v>
      </c>
      <c r="M20" s="14">
        <v>320000</v>
      </c>
      <c r="N20" s="15">
        <v>0</v>
      </c>
      <c r="O20" s="14">
        <v>150000</v>
      </c>
      <c r="P20" s="11" t="s">
        <v>30</v>
      </c>
    </row>
    <row r="21" spans="1:16" x14ac:dyDescent="0.35">
      <c r="A21" s="11" t="s">
        <v>128</v>
      </c>
      <c r="B21" s="17">
        <v>45705</v>
      </c>
      <c r="C21" s="11" t="s">
        <v>8</v>
      </c>
      <c r="D21" s="11" t="s">
        <v>129</v>
      </c>
      <c r="E21" s="11" t="s">
        <v>40</v>
      </c>
      <c r="F21" s="11" t="s">
        <v>63</v>
      </c>
      <c r="G21" s="11" t="s">
        <v>130</v>
      </c>
      <c r="H21" s="11" t="s">
        <v>54</v>
      </c>
      <c r="I21" s="11" t="s">
        <v>131</v>
      </c>
      <c r="J21" s="18"/>
      <c r="K21" s="11" t="s">
        <v>82</v>
      </c>
      <c r="L21" s="11">
        <v>1</v>
      </c>
      <c r="M21" s="14">
        <v>690000</v>
      </c>
      <c r="N21" s="15">
        <v>0.05</v>
      </c>
      <c r="O21" s="14">
        <v>410000</v>
      </c>
      <c r="P21" s="11" t="s">
        <v>30</v>
      </c>
    </row>
    <row r="22" spans="1:16" x14ac:dyDescent="0.35">
      <c r="A22" s="11" t="s">
        <v>132</v>
      </c>
      <c r="B22" s="17">
        <v>45712</v>
      </c>
      <c r="C22" s="11" t="s">
        <v>133</v>
      </c>
      <c r="D22" s="11" t="s">
        <v>134</v>
      </c>
      <c r="E22" s="11" t="s">
        <v>40</v>
      </c>
      <c r="F22" s="11" t="s">
        <v>14</v>
      </c>
      <c r="G22" s="11" t="s">
        <v>135</v>
      </c>
      <c r="H22" s="11" t="s">
        <v>54</v>
      </c>
      <c r="I22" s="11" t="s">
        <v>136</v>
      </c>
      <c r="J22" s="11" t="s">
        <v>73</v>
      </c>
      <c r="K22" s="11" t="s">
        <v>57</v>
      </c>
      <c r="L22" s="11">
        <v>4</v>
      </c>
      <c r="M22" s="14">
        <v>1200000</v>
      </c>
      <c r="N22" s="15">
        <v>0.15</v>
      </c>
      <c r="O22" s="14">
        <v>720000</v>
      </c>
      <c r="P22" s="11" t="s">
        <v>30</v>
      </c>
    </row>
    <row r="23" spans="1:16" x14ac:dyDescent="0.35">
      <c r="A23" s="11" t="s">
        <v>137</v>
      </c>
      <c r="B23" s="17">
        <v>45718</v>
      </c>
      <c r="C23" s="11" t="s">
        <v>138</v>
      </c>
      <c r="D23" s="11" t="s">
        <v>139</v>
      </c>
      <c r="E23" s="11" t="s">
        <v>40</v>
      </c>
      <c r="F23" s="11" t="s">
        <v>14</v>
      </c>
      <c r="G23" s="11" t="s">
        <v>70</v>
      </c>
      <c r="H23" s="11" t="s">
        <v>65</v>
      </c>
      <c r="I23" s="11" t="s">
        <v>140</v>
      </c>
      <c r="J23" s="11" t="s">
        <v>22</v>
      </c>
      <c r="K23" s="11" t="s">
        <v>57</v>
      </c>
      <c r="L23" s="11">
        <v>4</v>
      </c>
      <c r="M23" s="14">
        <v>1600000</v>
      </c>
      <c r="N23" s="15">
        <v>0.2</v>
      </c>
      <c r="O23" s="14">
        <v>1000000</v>
      </c>
      <c r="P23" s="11" t="s">
        <v>30</v>
      </c>
    </row>
    <row r="24" spans="1:16" x14ac:dyDescent="0.35">
      <c r="A24" s="11" t="s">
        <v>141</v>
      </c>
      <c r="B24" s="17">
        <v>45719</v>
      </c>
      <c r="C24" s="11" t="s">
        <v>142</v>
      </c>
      <c r="D24" s="11" t="s">
        <v>143</v>
      </c>
      <c r="E24" s="11" t="s">
        <v>12</v>
      </c>
      <c r="F24" s="11" t="s">
        <v>41</v>
      </c>
      <c r="G24" s="11" t="s">
        <v>42</v>
      </c>
      <c r="H24" s="11" t="s">
        <v>65</v>
      </c>
      <c r="I24" s="11" t="s">
        <v>140</v>
      </c>
      <c r="J24" s="11" t="s">
        <v>97</v>
      </c>
      <c r="K24" s="11" t="s">
        <v>106</v>
      </c>
      <c r="L24" s="11">
        <v>6</v>
      </c>
      <c r="M24" s="14">
        <v>1520000</v>
      </c>
      <c r="N24" s="15">
        <v>0</v>
      </c>
      <c r="O24" s="14">
        <v>1000000</v>
      </c>
      <c r="P24" s="11" t="s">
        <v>30</v>
      </c>
    </row>
    <row r="25" spans="1:16" x14ac:dyDescent="0.35">
      <c r="A25" s="11" t="s">
        <v>144</v>
      </c>
      <c r="B25" s="13" t="s">
        <v>145</v>
      </c>
      <c r="C25" s="11" t="s">
        <v>146</v>
      </c>
      <c r="D25" s="11" t="s">
        <v>147</v>
      </c>
      <c r="E25" s="11" t="s">
        <v>40</v>
      </c>
      <c r="F25" s="11" t="s">
        <v>41</v>
      </c>
      <c r="G25" s="11" t="s">
        <v>80</v>
      </c>
      <c r="H25" s="11" t="s">
        <v>43</v>
      </c>
      <c r="I25" s="11" t="s">
        <v>44</v>
      </c>
      <c r="J25" s="11" t="s">
        <v>56</v>
      </c>
      <c r="K25" s="11" t="s">
        <v>88</v>
      </c>
      <c r="L25" s="11">
        <v>1</v>
      </c>
      <c r="M25" s="14">
        <v>560000</v>
      </c>
      <c r="N25" s="15">
        <v>0.15</v>
      </c>
      <c r="O25" s="14">
        <v>260000</v>
      </c>
      <c r="P25" s="11" t="s">
        <v>30</v>
      </c>
    </row>
    <row r="26" spans="1:16" x14ac:dyDescent="0.35">
      <c r="A26" s="11" t="s">
        <v>148</v>
      </c>
      <c r="B26" s="17">
        <v>45722</v>
      </c>
      <c r="C26" s="11" t="s">
        <v>149</v>
      </c>
      <c r="D26" s="11" t="s">
        <v>150</v>
      </c>
      <c r="E26" s="11" t="s">
        <v>40</v>
      </c>
      <c r="F26" s="11" t="s">
        <v>41</v>
      </c>
      <c r="G26" s="11" t="s">
        <v>80</v>
      </c>
      <c r="H26" s="11" t="s">
        <v>71</v>
      </c>
      <c r="I26" s="11" t="s">
        <v>72</v>
      </c>
      <c r="J26" s="11" t="s">
        <v>56</v>
      </c>
      <c r="K26" s="11" t="s">
        <v>88</v>
      </c>
      <c r="L26" s="11">
        <v>3</v>
      </c>
      <c r="M26" s="14">
        <v>210000</v>
      </c>
      <c r="N26" s="15">
        <v>0</v>
      </c>
      <c r="O26" s="14">
        <v>120000</v>
      </c>
      <c r="P26" s="11" t="s">
        <v>30</v>
      </c>
    </row>
    <row r="27" spans="1:16" x14ac:dyDescent="0.35">
      <c r="A27" s="11" t="s">
        <v>151</v>
      </c>
      <c r="B27" s="17">
        <v>45722</v>
      </c>
      <c r="C27" s="11" t="s">
        <v>152</v>
      </c>
      <c r="D27" s="11" t="s">
        <v>153</v>
      </c>
      <c r="E27" s="11" t="s">
        <v>40</v>
      </c>
      <c r="F27" s="11" t="s">
        <v>41</v>
      </c>
      <c r="G27" s="11" t="s">
        <v>80</v>
      </c>
      <c r="H27" s="11" t="s">
        <v>43</v>
      </c>
      <c r="I27" s="11" t="s">
        <v>127</v>
      </c>
      <c r="J27" s="11" t="s">
        <v>73</v>
      </c>
      <c r="K27" s="11" t="s">
        <v>76</v>
      </c>
      <c r="L27" s="11">
        <v>2</v>
      </c>
      <c r="M27" s="14">
        <v>320000</v>
      </c>
      <c r="N27" s="15">
        <v>0</v>
      </c>
      <c r="O27" s="14">
        <v>150000</v>
      </c>
      <c r="P27" s="11" t="s">
        <v>30</v>
      </c>
    </row>
    <row r="28" spans="1:16" x14ac:dyDescent="0.35">
      <c r="A28" s="11" t="s">
        <v>154</v>
      </c>
      <c r="B28" s="17">
        <v>45725</v>
      </c>
      <c r="C28" s="11" t="s">
        <v>103</v>
      </c>
      <c r="D28" s="11" t="s">
        <v>104</v>
      </c>
      <c r="E28" s="11" t="s">
        <v>40</v>
      </c>
      <c r="F28" s="18" t="s">
        <v>155</v>
      </c>
      <c r="G28" s="11" t="s">
        <v>105</v>
      </c>
      <c r="H28" s="11" t="s">
        <v>18</v>
      </c>
      <c r="I28" s="11" t="s">
        <v>20</v>
      </c>
      <c r="J28" s="11" t="s">
        <v>22</v>
      </c>
      <c r="K28" s="11" t="s">
        <v>82</v>
      </c>
      <c r="L28" s="11">
        <v>1</v>
      </c>
      <c r="M28" s="14">
        <v>1200000</v>
      </c>
      <c r="N28" s="15">
        <v>0.1</v>
      </c>
      <c r="O28" s="14">
        <v>620000</v>
      </c>
      <c r="P28" s="11" t="s">
        <v>30</v>
      </c>
    </row>
    <row r="29" spans="1:16" x14ac:dyDescent="0.35">
      <c r="A29" s="11" t="s">
        <v>156</v>
      </c>
      <c r="B29" s="17">
        <v>45728</v>
      </c>
      <c r="C29" s="11" t="s">
        <v>157</v>
      </c>
      <c r="D29" s="11" t="s">
        <v>158</v>
      </c>
      <c r="E29" s="11" t="s">
        <v>40</v>
      </c>
      <c r="F29" s="11" t="s">
        <v>41</v>
      </c>
      <c r="G29" s="11" t="s">
        <v>80</v>
      </c>
      <c r="H29" s="11" t="s">
        <v>54</v>
      </c>
      <c r="I29" s="11" t="s">
        <v>75</v>
      </c>
      <c r="J29" s="11" t="s">
        <v>73</v>
      </c>
      <c r="K29" s="11" t="s">
        <v>159</v>
      </c>
      <c r="L29" s="11">
        <v>1</v>
      </c>
      <c r="M29" s="14">
        <v>1805000</v>
      </c>
      <c r="N29" s="15">
        <v>0</v>
      </c>
      <c r="O29" s="14">
        <v>1200000</v>
      </c>
      <c r="P29" s="11" t="s">
        <v>30</v>
      </c>
    </row>
    <row r="30" spans="1:16" x14ac:dyDescent="0.35">
      <c r="A30" s="11" t="s">
        <v>160</v>
      </c>
      <c r="B30" s="17">
        <v>45728</v>
      </c>
      <c r="C30" s="11" t="s">
        <v>161</v>
      </c>
      <c r="D30" s="11" t="s">
        <v>162</v>
      </c>
      <c r="E30" s="11" t="s">
        <v>12</v>
      </c>
      <c r="F30" s="11" t="s">
        <v>14</v>
      </c>
      <c r="G30" s="11" t="s">
        <v>135</v>
      </c>
      <c r="H30" s="11" t="s">
        <v>18</v>
      </c>
      <c r="I30" s="11" t="s">
        <v>120</v>
      </c>
      <c r="J30" s="11" t="s">
        <v>73</v>
      </c>
      <c r="K30" s="11" t="s">
        <v>88</v>
      </c>
      <c r="L30" s="11">
        <v>5</v>
      </c>
      <c r="M30" s="14">
        <v>280000</v>
      </c>
      <c r="N30" s="21">
        <v>15</v>
      </c>
      <c r="O30" s="14">
        <v>130000</v>
      </c>
      <c r="P30" s="11" t="s">
        <v>58</v>
      </c>
    </row>
    <row r="31" spans="1:16" x14ac:dyDescent="0.35">
      <c r="A31" s="11" t="s">
        <v>163</v>
      </c>
      <c r="B31" s="17">
        <v>45728</v>
      </c>
      <c r="C31" s="11" t="s">
        <v>164</v>
      </c>
      <c r="D31" s="11" t="s">
        <v>165</v>
      </c>
      <c r="E31" s="11" t="s">
        <v>12</v>
      </c>
      <c r="F31" s="11" t="s">
        <v>14</v>
      </c>
      <c r="G31" s="11" t="s">
        <v>16</v>
      </c>
      <c r="H31" s="11" t="s">
        <v>54</v>
      </c>
      <c r="I31" s="11" t="s">
        <v>75</v>
      </c>
      <c r="J31" s="11" t="s">
        <v>22</v>
      </c>
      <c r="K31" s="11" t="s">
        <v>159</v>
      </c>
      <c r="L31" s="11">
        <v>5</v>
      </c>
      <c r="M31" s="14">
        <v>1900000</v>
      </c>
      <c r="N31" s="15">
        <v>0.15</v>
      </c>
      <c r="O31" s="14">
        <v>1200000</v>
      </c>
      <c r="P31" s="11" t="s">
        <v>30</v>
      </c>
    </row>
    <row r="32" spans="1:16" x14ac:dyDescent="0.35">
      <c r="A32" s="11" t="s">
        <v>166</v>
      </c>
      <c r="B32" s="17">
        <v>45730</v>
      </c>
      <c r="C32" s="11" t="s">
        <v>167</v>
      </c>
      <c r="D32" s="11" t="s">
        <v>168</v>
      </c>
      <c r="E32" s="11" t="s">
        <v>40</v>
      </c>
      <c r="F32" s="11" t="s">
        <v>63</v>
      </c>
      <c r="G32" s="11" t="s">
        <v>92</v>
      </c>
      <c r="H32" s="11" t="s">
        <v>43</v>
      </c>
      <c r="I32" s="11" t="s">
        <v>127</v>
      </c>
      <c r="J32" s="11" t="s">
        <v>73</v>
      </c>
      <c r="K32" s="11" t="s">
        <v>24</v>
      </c>
      <c r="L32" s="11">
        <v>1</v>
      </c>
      <c r="M32" s="14">
        <v>304000</v>
      </c>
      <c r="N32" s="15">
        <v>0</v>
      </c>
      <c r="O32" s="14">
        <v>150000</v>
      </c>
      <c r="P32" s="11" t="s">
        <v>30</v>
      </c>
    </row>
    <row r="33" spans="1:16" x14ac:dyDescent="0.35">
      <c r="A33" s="11" t="s">
        <v>169</v>
      </c>
      <c r="B33" s="17">
        <v>45737</v>
      </c>
      <c r="C33" s="11" t="s">
        <v>90</v>
      </c>
      <c r="D33" s="11" t="s">
        <v>91</v>
      </c>
      <c r="E33" s="11" t="s">
        <v>40</v>
      </c>
      <c r="F33" s="11" t="s">
        <v>63</v>
      </c>
      <c r="G33" s="11" t="s">
        <v>92</v>
      </c>
      <c r="H33" s="11" t="s">
        <v>54</v>
      </c>
      <c r="I33" s="11" t="s">
        <v>136</v>
      </c>
      <c r="J33" s="11" t="s">
        <v>22</v>
      </c>
      <c r="K33" s="11" t="s">
        <v>49</v>
      </c>
      <c r="L33" s="11">
        <v>2</v>
      </c>
      <c r="M33" s="14">
        <v>1260000</v>
      </c>
      <c r="N33" s="15">
        <v>0</v>
      </c>
      <c r="O33" s="14">
        <v>720000</v>
      </c>
      <c r="P33" s="11" t="s">
        <v>30</v>
      </c>
    </row>
    <row r="34" spans="1:16" x14ac:dyDescent="0.35">
      <c r="A34" s="11" t="s">
        <v>170</v>
      </c>
      <c r="B34" s="17">
        <v>45737</v>
      </c>
      <c r="C34" s="11" t="s">
        <v>171</v>
      </c>
      <c r="D34" s="11" t="s">
        <v>172</v>
      </c>
      <c r="E34" s="11" t="s">
        <v>12</v>
      </c>
      <c r="F34" s="11" t="s">
        <v>41</v>
      </c>
      <c r="G34" s="11" t="s">
        <v>173</v>
      </c>
      <c r="H34" s="11" t="s">
        <v>71</v>
      </c>
      <c r="I34" s="11" t="s">
        <v>72</v>
      </c>
      <c r="J34" s="11" t="s">
        <v>97</v>
      </c>
      <c r="K34" s="11" t="s">
        <v>159</v>
      </c>
      <c r="L34" s="11">
        <v>2</v>
      </c>
      <c r="M34" s="14">
        <v>210000</v>
      </c>
      <c r="N34" s="15">
        <v>0.1</v>
      </c>
      <c r="O34" s="14">
        <v>120000</v>
      </c>
      <c r="P34" s="11" t="s">
        <v>30</v>
      </c>
    </row>
    <row r="35" spans="1:16" x14ac:dyDescent="0.35">
      <c r="A35" s="11" t="s">
        <v>174</v>
      </c>
      <c r="B35" s="17">
        <v>45737</v>
      </c>
      <c r="C35" s="11" t="s">
        <v>175</v>
      </c>
      <c r="D35" s="11" t="s">
        <v>176</v>
      </c>
      <c r="E35" s="11" t="s">
        <v>12</v>
      </c>
      <c r="F35" s="11" t="s">
        <v>41</v>
      </c>
      <c r="G35" s="11" t="s">
        <v>80</v>
      </c>
      <c r="H35" s="11" t="s">
        <v>54</v>
      </c>
      <c r="I35" s="11" t="s">
        <v>75</v>
      </c>
      <c r="J35" s="11" t="s">
        <v>22</v>
      </c>
      <c r="K35" s="11" t="s">
        <v>24</v>
      </c>
      <c r="L35" s="11">
        <v>10</v>
      </c>
      <c r="M35" s="14">
        <v>1995000</v>
      </c>
      <c r="N35" s="15">
        <v>0.15</v>
      </c>
      <c r="O35" s="14">
        <v>1200000</v>
      </c>
      <c r="P35" s="11" t="s">
        <v>30</v>
      </c>
    </row>
    <row r="36" spans="1:16" x14ac:dyDescent="0.35">
      <c r="A36" s="11" t="s">
        <v>177</v>
      </c>
      <c r="B36" s="17">
        <v>45737</v>
      </c>
      <c r="C36" s="11" t="s">
        <v>178</v>
      </c>
      <c r="D36" s="11" t="s">
        <v>179</v>
      </c>
      <c r="E36" s="11" t="s">
        <v>40</v>
      </c>
      <c r="F36" s="11" t="s">
        <v>41</v>
      </c>
      <c r="G36" s="11" t="s">
        <v>80</v>
      </c>
      <c r="H36" s="11" t="s">
        <v>43</v>
      </c>
      <c r="I36" s="11" t="s">
        <v>127</v>
      </c>
      <c r="J36" s="11" t="s">
        <v>73</v>
      </c>
      <c r="K36" s="11" t="s">
        <v>49</v>
      </c>
      <c r="L36" s="11">
        <v>1</v>
      </c>
      <c r="M36" s="14">
        <v>320000</v>
      </c>
      <c r="N36" s="15">
        <v>0</v>
      </c>
      <c r="O36" s="14">
        <v>150000</v>
      </c>
      <c r="P36" s="11" t="s">
        <v>30</v>
      </c>
    </row>
    <row r="37" spans="1:16" x14ac:dyDescent="0.35">
      <c r="A37" s="11" t="s">
        <v>180</v>
      </c>
      <c r="B37" s="17">
        <v>45741</v>
      </c>
      <c r="C37" s="11" t="s">
        <v>181</v>
      </c>
      <c r="D37" s="11" t="s">
        <v>182</v>
      </c>
      <c r="E37" s="11" t="s">
        <v>40</v>
      </c>
      <c r="F37" s="11" t="s">
        <v>41</v>
      </c>
      <c r="G37" s="11" t="s">
        <v>173</v>
      </c>
      <c r="H37" s="11" t="s">
        <v>54</v>
      </c>
      <c r="I37" s="11" t="s">
        <v>131</v>
      </c>
      <c r="J37" s="11" t="s">
        <v>56</v>
      </c>
      <c r="K37" s="11" t="s">
        <v>76</v>
      </c>
      <c r="L37" s="11">
        <v>2</v>
      </c>
      <c r="M37" s="14">
        <v>690000</v>
      </c>
      <c r="N37" s="15">
        <v>0</v>
      </c>
      <c r="O37" s="14">
        <v>410000</v>
      </c>
      <c r="P37" s="11" t="s">
        <v>30</v>
      </c>
    </row>
    <row r="38" spans="1:16" x14ac:dyDescent="0.35">
      <c r="A38" s="11" t="s">
        <v>183</v>
      </c>
      <c r="B38" s="17">
        <v>45744</v>
      </c>
      <c r="C38" s="11" t="s">
        <v>149</v>
      </c>
      <c r="D38" s="11" t="s">
        <v>150</v>
      </c>
      <c r="E38" s="11" t="s">
        <v>40</v>
      </c>
      <c r="F38" s="11" t="s">
        <v>41</v>
      </c>
      <c r="G38" s="11" t="s">
        <v>80</v>
      </c>
      <c r="H38" s="11" t="s">
        <v>54</v>
      </c>
      <c r="I38" s="11" t="s">
        <v>131</v>
      </c>
      <c r="J38" s="11" t="s">
        <v>56</v>
      </c>
      <c r="K38" s="11" t="s">
        <v>76</v>
      </c>
      <c r="L38" s="11">
        <v>1</v>
      </c>
      <c r="M38" s="14">
        <v>724000</v>
      </c>
      <c r="N38" s="15">
        <v>0</v>
      </c>
      <c r="O38" s="14">
        <v>410000</v>
      </c>
      <c r="P38" s="11" t="s">
        <v>30</v>
      </c>
    </row>
    <row r="39" spans="1:16" x14ac:dyDescent="0.35">
      <c r="A39" s="11" t="s">
        <v>184</v>
      </c>
      <c r="B39" s="17">
        <v>45745</v>
      </c>
      <c r="C39" s="11" t="s">
        <v>185</v>
      </c>
      <c r="D39" s="11" t="s">
        <v>186</v>
      </c>
      <c r="E39" s="11" t="s">
        <v>40</v>
      </c>
      <c r="F39" s="11" t="s">
        <v>41</v>
      </c>
      <c r="G39" s="11" t="s">
        <v>42</v>
      </c>
      <c r="H39" s="11" t="s">
        <v>71</v>
      </c>
      <c r="I39" s="11" t="s">
        <v>72</v>
      </c>
      <c r="J39" s="11" t="s">
        <v>56</v>
      </c>
      <c r="K39" s="18"/>
      <c r="L39" s="11">
        <v>1</v>
      </c>
      <c r="M39" s="14">
        <v>210000</v>
      </c>
      <c r="N39" s="15">
        <v>0.05</v>
      </c>
      <c r="O39" s="14">
        <v>120000</v>
      </c>
      <c r="P39" s="11" t="s">
        <v>30</v>
      </c>
    </row>
    <row r="40" spans="1:16" x14ac:dyDescent="0.35">
      <c r="A40" s="11" t="s">
        <v>187</v>
      </c>
      <c r="B40" s="17">
        <v>45746</v>
      </c>
      <c r="C40" s="11" t="s">
        <v>188</v>
      </c>
      <c r="D40" s="11" t="s">
        <v>189</v>
      </c>
      <c r="E40" s="11" t="s">
        <v>40</v>
      </c>
      <c r="F40" s="11" t="s">
        <v>14</v>
      </c>
      <c r="G40" s="11" t="s">
        <v>16</v>
      </c>
      <c r="H40" s="11" t="s">
        <v>18</v>
      </c>
      <c r="I40" s="11" t="s">
        <v>96</v>
      </c>
      <c r="J40" s="11" t="s">
        <v>73</v>
      </c>
      <c r="K40" s="11" t="s">
        <v>88</v>
      </c>
      <c r="L40" s="11">
        <v>1</v>
      </c>
      <c r="M40" s="14">
        <v>750000</v>
      </c>
      <c r="N40" s="15">
        <v>0.15</v>
      </c>
      <c r="O40" s="14">
        <v>390000</v>
      </c>
      <c r="P40" s="11" t="s">
        <v>30</v>
      </c>
    </row>
    <row r="41" spans="1:16" x14ac:dyDescent="0.35">
      <c r="A41" s="11" t="s">
        <v>190</v>
      </c>
      <c r="B41" s="17">
        <v>45749</v>
      </c>
      <c r="C41" s="11" t="s">
        <v>61</v>
      </c>
      <c r="D41" s="11" t="s">
        <v>62</v>
      </c>
      <c r="E41" s="11" t="s">
        <v>40</v>
      </c>
      <c r="F41" s="11" t="s">
        <v>63</v>
      </c>
      <c r="G41" s="11" t="s">
        <v>64</v>
      </c>
      <c r="H41" s="11" t="s">
        <v>18</v>
      </c>
      <c r="I41" s="11" t="s">
        <v>93</v>
      </c>
      <c r="J41" s="11" t="s">
        <v>22</v>
      </c>
      <c r="K41" s="11" t="s">
        <v>57</v>
      </c>
      <c r="L41" s="11">
        <v>1</v>
      </c>
      <c r="M41" s="14">
        <v>1500000</v>
      </c>
      <c r="N41" s="15">
        <v>0</v>
      </c>
      <c r="O41" s="14">
        <v>800000</v>
      </c>
      <c r="P41" s="11" t="s">
        <v>30</v>
      </c>
    </row>
    <row r="42" spans="1:16" x14ac:dyDescent="0.35">
      <c r="A42" s="11" t="s">
        <v>191</v>
      </c>
      <c r="B42" s="17">
        <v>45749</v>
      </c>
      <c r="C42" s="11" t="s">
        <v>161</v>
      </c>
      <c r="D42" s="11" t="s">
        <v>162</v>
      </c>
      <c r="E42" s="11" t="s">
        <v>12</v>
      </c>
      <c r="F42" s="11" t="s">
        <v>14</v>
      </c>
      <c r="G42" s="11" t="s">
        <v>135</v>
      </c>
      <c r="H42" s="11" t="s">
        <v>43</v>
      </c>
      <c r="I42" s="11" t="s">
        <v>127</v>
      </c>
      <c r="J42" s="11" t="s">
        <v>22</v>
      </c>
      <c r="K42" s="11" t="s">
        <v>82</v>
      </c>
      <c r="L42" s="11">
        <v>6</v>
      </c>
      <c r="M42" s="14">
        <v>320000</v>
      </c>
      <c r="N42" s="15">
        <v>0</v>
      </c>
      <c r="O42" s="14">
        <v>150000</v>
      </c>
      <c r="P42" s="11" t="s">
        <v>30</v>
      </c>
    </row>
    <row r="43" spans="1:16" x14ac:dyDescent="0.35">
      <c r="A43" s="11" t="s">
        <v>192</v>
      </c>
      <c r="B43" s="17">
        <v>45751</v>
      </c>
      <c r="C43" s="11" t="s">
        <v>193</v>
      </c>
      <c r="D43" s="11" t="s">
        <v>194</v>
      </c>
      <c r="E43" s="11" t="s">
        <v>12</v>
      </c>
      <c r="F43" s="11" t="s">
        <v>14</v>
      </c>
      <c r="G43" s="11" t="s">
        <v>70</v>
      </c>
      <c r="H43" s="11" t="s">
        <v>54</v>
      </c>
      <c r="I43" s="11" t="s">
        <v>136</v>
      </c>
      <c r="J43" s="11" t="s">
        <v>73</v>
      </c>
      <c r="K43" s="11" t="s">
        <v>24</v>
      </c>
      <c r="L43" s="11">
        <v>6</v>
      </c>
      <c r="M43" s="14">
        <v>1200000</v>
      </c>
      <c r="N43" s="15">
        <v>0.15</v>
      </c>
      <c r="O43" s="14">
        <v>720000</v>
      </c>
      <c r="P43" s="11" t="s">
        <v>30</v>
      </c>
    </row>
    <row r="44" spans="1:16" x14ac:dyDescent="0.35">
      <c r="A44" s="11" t="s">
        <v>195</v>
      </c>
      <c r="B44" s="17">
        <v>45755</v>
      </c>
      <c r="C44" s="11" t="s">
        <v>196</v>
      </c>
      <c r="D44" s="11" t="s">
        <v>197</v>
      </c>
      <c r="E44" s="11" t="s">
        <v>40</v>
      </c>
      <c r="F44" s="11" t="s">
        <v>41</v>
      </c>
      <c r="G44" s="11" t="s">
        <v>42</v>
      </c>
      <c r="H44" s="11" t="s">
        <v>18</v>
      </c>
      <c r="I44" s="11" t="s">
        <v>20</v>
      </c>
      <c r="J44" s="11" t="s">
        <v>73</v>
      </c>
      <c r="K44" s="11" t="s">
        <v>57</v>
      </c>
      <c r="L44" s="11">
        <v>2</v>
      </c>
      <c r="M44" s="14">
        <v>1200000</v>
      </c>
      <c r="N44" s="15">
        <v>0.2</v>
      </c>
      <c r="O44" s="14">
        <v>620000</v>
      </c>
      <c r="P44" s="11" t="s">
        <v>30</v>
      </c>
    </row>
    <row r="45" spans="1:16" x14ac:dyDescent="0.35">
      <c r="A45" s="11" t="s">
        <v>198</v>
      </c>
      <c r="B45" s="17">
        <v>45756</v>
      </c>
      <c r="C45" s="11" t="s">
        <v>52</v>
      </c>
      <c r="D45" s="11" t="s">
        <v>53</v>
      </c>
      <c r="E45" s="11" t="s">
        <v>40</v>
      </c>
      <c r="F45" s="11" t="s">
        <v>41</v>
      </c>
      <c r="G45" s="11" t="s">
        <v>42</v>
      </c>
      <c r="H45" s="11" t="s">
        <v>71</v>
      </c>
      <c r="I45" s="11" t="s">
        <v>81</v>
      </c>
      <c r="J45" s="11" t="s">
        <v>56</v>
      </c>
      <c r="K45" s="11" t="s">
        <v>76</v>
      </c>
      <c r="L45" s="11">
        <v>2</v>
      </c>
      <c r="M45" s="14">
        <v>340000</v>
      </c>
      <c r="N45" s="15">
        <v>0</v>
      </c>
      <c r="O45" s="14">
        <v>220000</v>
      </c>
      <c r="P45" s="11" t="s">
        <v>58</v>
      </c>
    </row>
    <row r="46" spans="1:16" x14ac:dyDescent="0.35">
      <c r="A46" s="11" t="s">
        <v>199</v>
      </c>
      <c r="B46" s="17">
        <v>45757</v>
      </c>
      <c r="C46" s="11" t="s">
        <v>78</v>
      </c>
      <c r="D46" s="11" t="s">
        <v>79</v>
      </c>
      <c r="E46" s="11" t="s">
        <v>40</v>
      </c>
      <c r="F46" s="11" t="s">
        <v>41</v>
      </c>
      <c r="G46" s="11" t="s">
        <v>80</v>
      </c>
      <c r="H46" s="11" t="s">
        <v>18</v>
      </c>
      <c r="I46" s="11" t="s">
        <v>20</v>
      </c>
      <c r="J46" s="11" t="s">
        <v>22</v>
      </c>
      <c r="K46" s="11" t="s">
        <v>76</v>
      </c>
      <c r="L46" s="11">
        <v>1</v>
      </c>
      <c r="M46" s="14">
        <v>1200000</v>
      </c>
      <c r="N46" s="15">
        <v>0</v>
      </c>
      <c r="O46" s="14">
        <v>620000</v>
      </c>
      <c r="P46" s="11" t="s">
        <v>30</v>
      </c>
    </row>
    <row r="47" spans="1:16" x14ac:dyDescent="0.35">
      <c r="A47" s="11" t="s">
        <v>200</v>
      </c>
      <c r="B47" s="17">
        <v>45760</v>
      </c>
      <c r="C47" s="11" t="s">
        <v>78</v>
      </c>
      <c r="D47" s="11" t="s">
        <v>79</v>
      </c>
      <c r="E47" s="11" t="s">
        <v>40</v>
      </c>
      <c r="F47" s="11" t="s">
        <v>41</v>
      </c>
      <c r="G47" s="11" t="s">
        <v>80</v>
      </c>
      <c r="H47" s="11" t="s">
        <v>65</v>
      </c>
      <c r="I47" s="11" t="s">
        <v>201</v>
      </c>
      <c r="J47" s="11" t="s">
        <v>22</v>
      </c>
      <c r="K47" s="11" t="s">
        <v>24</v>
      </c>
      <c r="L47" s="11">
        <v>1</v>
      </c>
      <c r="M47" s="14">
        <v>980000</v>
      </c>
      <c r="N47" s="15">
        <v>0.2</v>
      </c>
      <c r="O47" s="14">
        <v>600000</v>
      </c>
      <c r="P47" s="11" t="s">
        <v>30</v>
      </c>
    </row>
    <row r="48" spans="1:16" x14ac:dyDescent="0.35">
      <c r="A48" s="11" t="s">
        <v>202</v>
      </c>
      <c r="B48" s="17">
        <v>45765</v>
      </c>
      <c r="C48" s="11" t="s">
        <v>203</v>
      </c>
      <c r="D48" s="11" t="s">
        <v>204</v>
      </c>
      <c r="E48" s="11" t="s">
        <v>40</v>
      </c>
      <c r="F48" s="11" t="s">
        <v>41</v>
      </c>
      <c r="G48" s="11" t="s">
        <v>80</v>
      </c>
      <c r="H48" s="11" t="s">
        <v>18</v>
      </c>
      <c r="I48" s="11" t="s">
        <v>93</v>
      </c>
      <c r="J48" s="11" t="s">
        <v>56</v>
      </c>
      <c r="K48" s="11" t="s">
        <v>76</v>
      </c>
      <c r="L48" s="11">
        <v>1</v>
      </c>
      <c r="M48" s="14">
        <v>1575000</v>
      </c>
      <c r="N48" s="15">
        <v>0</v>
      </c>
      <c r="O48" s="14">
        <v>800000</v>
      </c>
      <c r="P48" s="11" t="s">
        <v>30</v>
      </c>
    </row>
    <row r="49" spans="1:16" x14ac:dyDescent="0.35">
      <c r="A49" s="11" t="s">
        <v>205</v>
      </c>
      <c r="B49" s="17">
        <v>45767</v>
      </c>
      <c r="C49" s="11" t="s">
        <v>196</v>
      </c>
      <c r="D49" s="11" t="s">
        <v>197</v>
      </c>
      <c r="E49" s="11" t="s">
        <v>40</v>
      </c>
      <c r="F49" s="11" t="s">
        <v>41</v>
      </c>
      <c r="G49" s="11" t="s">
        <v>42</v>
      </c>
      <c r="H49" s="11" t="s">
        <v>18</v>
      </c>
      <c r="I49" s="11" t="s">
        <v>96</v>
      </c>
      <c r="J49" s="11" t="s">
        <v>56</v>
      </c>
      <c r="K49" s="11" t="s">
        <v>88</v>
      </c>
      <c r="L49" s="11">
        <v>2</v>
      </c>
      <c r="M49" s="14">
        <v>750000</v>
      </c>
      <c r="N49" s="15">
        <v>0.1</v>
      </c>
      <c r="O49" s="14">
        <v>390000</v>
      </c>
      <c r="P49" s="11" t="s">
        <v>30</v>
      </c>
    </row>
    <row r="50" spans="1:16" x14ac:dyDescent="0.35">
      <c r="A50" s="11" t="s">
        <v>206</v>
      </c>
      <c r="B50" s="17">
        <v>45771</v>
      </c>
      <c r="C50" s="11" t="s">
        <v>118</v>
      </c>
      <c r="D50" s="11" t="s">
        <v>119</v>
      </c>
      <c r="E50" s="11" t="s">
        <v>40</v>
      </c>
      <c r="F50" s="11" t="s">
        <v>14</v>
      </c>
      <c r="G50" s="11" t="s">
        <v>16</v>
      </c>
      <c r="H50" s="11" t="s">
        <v>18</v>
      </c>
      <c r="I50" s="11" t="s">
        <v>20</v>
      </c>
      <c r="J50" s="11" t="s">
        <v>73</v>
      </c>
      <c r="K50" s="11" t="s">
        <v>82</v>
      </c>
      <c r="L50" s="11">
        <v>1</v>
      </c>
      <c r="M50" s="14">
        <v>1200000</v>
      </c>
      <c r="N50" s="15">
        <v>0.1</v>
      </c>
      <c r="O50" s="14">
        <v>620000</v>
      </c>
      <c r="P50" s="11" t="s">
        <v>30</v>
      </c>
    </row>
    <row r="51" spans="1:16" x14ac:dyDescent="0.35">
      <c r="A51" s="11" t="s">
        <v>207</v>
      </c>
      <c r="B51" s="17">
        <v>45773</v>
      </c>
      <c r="C51" s="11" t="s">
        <v>90</v>
      </c>
      <c r="D51" s="11" t="s">
        <v>91</v>
      </c>
      <c r="E51" s="11" t="s">
        <v>40</v>
      </c>
      <c r="F51" s="11" t="s">
        <v>63</v>
      </c>
      <c r="G51" s="11" t="s">
        <v>92</v>
      </c>
      <c r="H51" s="11" t="s">
        <v>18</v>
      </c>
      <c r="I51" s="11" t="s">
        <v>120</v>
      </c>
      <c r="J51" s="11" t="s">
        <v>73</v>
      </c>
      <c r="K51" s="11" t="s">
        <v>57</v>
      </c>
      <c r="L51" s="11">
        <v>1</v>
      </c>
      <c r="M51" s="14">
        <v>280000</v>
      </c>
      <c r="N51" s="15">
        <v>0.1</v>
      </c>
      <c r="O51" s="14">
        <v>130000</v>
      </c>
      <c r="P51" s="11" t="s">
        <v>30</v>
      </c>
    </row>
    <row r="52" spans="1:16" x14ac:dyDescent="0.35">
      <c r="A52" s="22" t="s">
        <v>174</v>
      </c>
      <c r="B52" s="23">
        <v>45737</v>
      </c>
      <c r="C52" s="22" t="s">
        <v>175</v>
      </c>
      <c r="D52" s="22" t="s">
        <v>176</v>
      </c>
      <c r="E52" s="22" t="s">
        <v>12</v>
      </c>
      <c r="F52" s="22" t="s">
        <v>41</v>
      </c>
      <c r="G52" s="22" t="s">
        <v>80</v>
      </c>
      <c r="H52" s="22" t="s">
        <v>54</v>
      </c>
      <c r="I52" s="22" t="s">
        <v>75</v>
      </c>
      <c r="J52" s="22" t="s">
        <v>22</v>
      </c>
      <c r="K52" s="22" t="s">
        <v>24</v>
      </c>
      <c r="L52" s="22">
        <v>10</v>
      </c>
      <c r="M52" s="24">
        <v>1995000</v>
      </c>
      <c r="N52" s="25">
        <v>0.15</v>
      </c>
      <c r="O52" s="24">
        <v>1200000</v>
      </c>
      <c r="P52" s="22" t="s">
        <v>30</v>
      </c>
    </row>
    <row r="53" spans="1:16" x14ac:dyDescent="0.35">
      <c r="A53" s="11" t="s">
        <v>208</v>
      </c>
      <c r="B53" s="17">
        <v>45774</v>
      </c>
      <c r="C53" s="11" t="s">
        <v>181</v>
      </c>
      <c r="D53" s="11" t="s">
        <v>182</v>
      </c>
      <c r="E53" s="11" t="s">
        <v>40</v>
      </c>
      <c r="F53" s="11" t="s">
        <v>41</v>
      </c>
      <c r="G53" s="11" t="s">
        <v>173</v>
      </c>
      <c r="H53" s="11" t="s">
        <v>65</v>
      </c>
      <c r="I53" s="11" t="s">
        <v>66</v>
      </c>
      <c r="J53" s="11" t="s">
        <v>73</v>
      </c>
      <c r="K53" s="11" t="s">
        <v>49</v>
      </c>
      <c r="L53" s="11">
        <v>2</v>
      </c>
      <c r="M53" s="14">
        <v>546000</v>
      </c>
      <c r="N53" s="15">
        <v>0.15</v>
      </c>
      <c r="O53" s="14">
        <v>310000</v>
      </c>
      <c r="P53" s="11" t="s">
        <v>30</v>
      </c>
    </row>
    <row r="54" spans="1:16" x14ac:dyDescent="0.35">
      <c r="A54" s="11" t="s">
        <v>209</v>
      </c>
      <c r="B54" s="17">
        <v>45776</v>
      </c>
      <c r="C54" s="11" t="s">
        <v>210</v>
      </c>
      <c r="D54" s="11" t="s">
        <v>211</v>
      </c>
      <c r="E54" s="11" t="s">
        <v>40</v>
      </c>
      <c r="F54" s="11" t="s">
        <v>14</v>
      </c>
      <c r="G54" s="11" t="s">
        <v>105</v>
      </c>
      <c r="H54" s="11" t="s">
        <v>18</v>
      </c>
      <c r="I54" s="11" t="s">
        <v>96</v>
      </c>
      <c r="J54" s="11" t="s">
        <v>22</v>
      </c>
      <c r="K54" s="11" t="s">
        <v>24</v>
      </c>
      <c r="L54" s="11">
        <v>2</v>
      </c>
      <c r="M54" s="14">
        <v>750000</v>
      </c>
      <c r="N54" s="15">
        <v>0.05</v>
      </c>
      <c r="O54" s="14">
        <v>390000</v>
      </c>
      <c r="P54" s="11" t="s">
        <v>30</v>
      </c>
    </row>
    <row r="55" spans="1:16" x14ac:dyDescent="0.35">
      <c r="A55" s="11" t="s">
        <v>212</v>
      </c>
      <c r="B55" s="17">
        <v>45781</v>
      </c>
      <c r="C55" s="11" t="s">
        <v>213</v>
      </c>
      <c r="D55" s="11" t="s">
        <v>214</v>
      </c>
      <c r="E55" s="11" t="s">
        <v>40</v>
      </c>
      <c r="F55" s="11" t="s">
        <v>14</v>
      </c>
      <c r="G55" s="11" t="s">
        <v>70</v>
      </c>
      <c r="H55" s="11" t="s">
        <v>43</v>
      </c>
      <c r="I55" s="11" t="s">
        <v>48</v>
      </c>
      <c r="J55" s="11" t="s">
        <v>56</v>
      </c>
      <c r="K55" s="11" t="s">
        <v>159</v>
      </c>
      <c r="L55" s="11">
        <v>1</v>
      </c>
      <c r="M55" s="14">
        <v>304000</v>
      </c>
      <c r="N55" s="15">
        <v>0</v>
      </c>
      <c r="O55" s="14">
        <v>120000</v>
      </c>
      <c r="P55" s="11" t="s">
        <v>30</v>
      </c>
    </row>
    <row r="56" spans="1:16" x14ac:dyDescent="0.35">
      <c r="A56" s="11" t="s">
        <v>215</v>
      </c>
      <c r="B56" s="17">
        <v>45782</v>
      </c>
      <c r="C56" s="11" t="s">
        <v>216</v>
      </c>
      <c r="D56" s="11" t="s">
        <v>217</v>
      </c>
      <c r="E56" s="11" t="s">
        <v>40</v>
      </c>
      <c r="F56" s="11" t="s">
        <v>14</v>
      </c>
      <c r="G56" s="11" t="s">
        <v>135</v>
      </c>
      <c r="H56" s="11" t="s">
        <v>18</v>
      </c>
      <c r="I56" s="11" t="s">
        <v>120</v>
      </c>
      <c r="J56" s="11" t="s">
        <v>56</v>
      </c>
      <c r="K56" s="11" t="s">
        <v>106</v>
      </c>
      <c r="L56" s="11">
        <v>1</v>
      </c>
      <c r="M56" s="14">
        <v>266000</v>
      </c>
      <c r="N56" s="15">
        <v>0</v>
      </c>
      <c r="O56" s="14">
        <v>130000</v>
      </c>
      <c r="P56" s="11" t="s">
        <v>30</v>
      </c>
    </row>
    <row r="57" spans="1:16" x14ac:dyDescent="0.35">
      <c r="A57" s="11" t="s">
        <v>218</v>
      </c>
      <c r="B57" s="17">
        <v>45782</v>
      </c>
      <c r="C57" s="11" t="s">
        <v>125</v>
      </c>
      <c r="D57" s="11" t="s">
        <v>126</v>
      </c>
      <c r="E57" s="11" t="s">
        <v>40</v>
      </c>
      <c r="F57" s="11" t="s">
        <v>63</v>
      </c>
      <c r="G57" s="11" t="s">
        <v>92</v>
      </c>
      <c r="H57" s="11" t="s">
        <v>71</v>
      </c>
      <c r="I57" s="11" t="s">
        <v>87</v>
      </c>
      <c r="J57" s="11" t="s">
        <v>97</v>
      </c>
      <c r="K57" s="11" t="s">
        <v>24</v>
      </c>
      <c r="L57" s="11">
        <v>1</v>
      </c>
      <c r="M57" s="14">
        <v>380000</v>
      </c>
      <c r="N57" s="15">
        <v>0.05</v>
      </c>
      <c r="O57" s="14">
        <v>250000</v>
      </c>
      <c r="P57" s="11" t="s">
        <v>30</v>
      </c>
    </row>
    <row r="58" spans="1:16" x14ac:dyDescent="0.35">
      <c r="A58" s="11" t="s">
        <v>219</v>
      </c>
      <c r="B58" s="17">
        <v>45786</v>
      </c>
      <c r="C58" s="11" t="s">
        <v>185</v>
      </c>
      <c r="D58" s="11" t="s">
        <v>186</v>
      </c>
      <c r="E58" s="11" t="s">
        <v>40</v>
      </c>
      <c r="F58" s="11" t="s">
        <v>41</v>
      </c>
      <c r="G58" s="11" t="s">
        <v>42</v>
      </c>
      <c r="H58" s="11" t="s">
        <v>54</v>
      </c>
      <c r="I58" s="11" t="s">
        <v>220</v>
      </c>
      <c r="J58" s="11" t="s">
        <v>56</v>
      </c>
      <c r="K58" s="11" t="s">
        <v>76</v>
      </c>
      <c r="L58" s="11">
        <v>3</v>
      </c>
      <c r="M58" s="14">
        <v>450000</v>
      </c>
      <c r="N58" s="15">
        <v>0.15</v>
      </c>
      <c r="O58" s="14">
        <v>260000</v>
      </c>
      <c r="P58" s="11" t="s">
        <v>30</v>
      </c>
    </row>
    <row r="59" spans="1:16" x14ac:dyDescent="0.35">
      <c r="A59" s="11" t="s">
        <v>221</v>
      </c>
      <c r="B59" s="17">
        <v>45789</v>
      </c>
      <c r="C59" s="11" t="s">
        <v>222</v>
      </c>
      <c r="D59" s="11" t="s">
        <v>223</v>
      </c>
      <c r="E59" s="11" t="s">
        <v>40</v>
      </c>
      <c r="F59" s="11" t="s">
        <v>14</v>
      </c>
      <c r="G59" s="11" t="s">
        <v>70</v>
      </c>
      <c r="H59" s="11" t="s">
        <v>54</v>
      </c>
      <c r="I59" s="11" t="s">
        <v>55</v>
      </c>
      <c r="J59" s="11" t="s">
        <v>22</v>
      </c>
      <c r="K59" s="11" t="s">
        <v>49</v>
      </c>
      <c r="L59" s="11">
        <v>1</v>
      </c>
      <c r="M59" s="14">
        <v>850000</v>
      </c>
      <c r="N59" s="15">
        <v>0</v>
      </c>
      <c r="O59" s="14">
        <v>520000</v>
      </c>
      <c r="P59" s="18" t="s">
        <v>224</v>
      </c>
    </row>
    <row r="60" spans="1:16" x14ac:dyDescent="0.35">
      <c r="A60" s="11" t="s">
        <v>225</v>
      </c>
      <c r="B60" s="17">
        <v>45789</v>
      </c>
      <c r="C60" s="11" t="s">
        <v>226</v>
      </c>
      <c r="D60" s="11" t="s">
        <v>227</v>
      </c>
      <c r="E60" s="11" t="s">
        <v>40</v>
      </c>
      <c r="F60" s="11" t="s">
        <v>41</v>
      </c>
      <c r="G60" s="11" t="s">
        <v>42</v>
      </c>
      <c r="H60" s="11" t="s">
        <v>65</v>
      </c>
      <c r="I60" s="11" t="s">
        <v>201</v>
      </c>
      <c r="J60" s="11" t="s">
        <v>56</v>
      </c>
      <c r="K60" s="11" t="s">
        <v>49</v>
      </c>
      <c r="L60" s="11">
        <v>3</v>
      </c>
      <c r="M60" s="14">
        <v>1029000</v>
      </c>
      <c r="N60" s="15">
        <v>0.05</v>
      </c>
      <c r="O60" s="14">
        <v>600000</v>
      </c>
      <c r="P60" s="11" t="s">
        <v>30</v>
      </c>
    </row>
    <row r="61" spans="1:16" x14ac:dyDescent="0.35">
      <c r="A61" s="11" t="s">
        <v>228</v>
      </c>
      <c r="B61" s="17">
        <v>45790</v>
      </c>
      <c r="C61" s="11" t="s">
        <v>149</v>
      </c>
      <c r="D61" s="11" t="s">
        <v>150</v>
      </c>
      <c r="E61" s="11" t="s">
        <v>40</v>
      </c>
      <c r="F61" s="18" t="s">
        <v>229</v>
      </c>
      <c r="G61" s="11" t="s">
        <v>80</v>
      </c>
      <c r="H61" s="11" t="s">
        <v>43</v>
      </c>
      <c r="I61" s="11" t="s">
        <v>48</v>
      </c>
      <c r="J61" s="11" t="s">
        <v>56</v>
      </c>
      <c r="K61" s="11" t="s">
        <v>106</v>
      </c>
      <c r="L61" s="11">
        <v>4</v>
      </c>
      <c r="M61" s="14">
        <v>290000</v>
      </c>
      <c r="N61" s="15">
        <v>0</v>
      </c>
      <c r="O61" s="14">
        <v>120000</v>
      </c>
      <c r="P61" s="11" t="s">
        <v>30</v>
      </c>
    </row>
    <row r="62" spans="1:16" x14ac:dyDescent="0.35">
      <c r="A62" s="11" t="s">
        <v>230</v>
      </c>
      <c r="B62" s="17">
        <v>45790</v>
      </c>
      <c r="C62" s="11" t="s">
        <v>38</v>
      </c>
      <c r="D62" s="11" t="s">
        <v>39</v>
      </c>
      <c r="E62" s="11" t="s">
        <v>40</v>
      </c>
      <c r="F62" s="11" t="s">
        <v>41</v>
      </c>
      <c r="G62" s="11" t="s">
        <v>42</v>
      </c>
      <c r="H62" s="11" t="s">
        <v>54</v>
      </c>
      <c r="I62" s="11" t="s">
        <v>131</v>
      </c>
      <c r="J62" s="11" t="s">
        <v>22</v>
      </c>
      <c r="K62" s="11" t="s">
        <v>159</v>
      </c>
      <c r="L62" s="11">
        <v>1</v>
      </c>
      <c r="M62" s="14">
        <v>690000</v>
      </c>
      <c r="N62" s="15">
        <v>0.05</v>
      </c>
      <c r="O62" s="14">
        <v>410000</v>
      </c>
      <c r="P62" s="11" t="s">
        <v>98</v>
      </c>
    </row>
    <row r="63" spans="1:16" x14ac:dyDescent="0.35">
      <c r="A63" s="11" t="s">
        <v>231</v>
      </c>
      <c r="B63" s="17">
        <v>45792</v>
      </c>
      <c r="C63" s="11" t="s">
        <v>232</v>
      </c>
      <c r="D63" s="11" t="s">
        <v>233</v>
      </c>
      <c r="E63" s="11" t="s">
        <v>40</v>
      </c>
      <c r="F63" s="11" t="s">
        <v>41</v>
      </c>
      <c r="G63" s="11" t="s">
        <v>42</v>
      </c>
      <c r="H63" s="11" t="s">
        <v>18</v>
      </c>
      <c r="I63" s="11" t="s">
        <v>120</v>
      </c>
      <c r="J63" s="11" t="s">
        <v>22</v>
      </c>
      <c r="K63" s="11" t="s">
        <v>49</v>
      </c>
      <c r="L63" s="11">
        <v>1</v>
      </c>
      <c r="M63" s="14">
        <v>294000</v>
      </c>
      <c r="N63" s="15">
        <v>0.2</v>
      </c>
      <c r="O63" s="14">
        <v>130000</v>
      </c>
      <c r="P63" s="11" t="s">
        <v>30</v>
      </c>
    </row>
    <row r="64" spans="1:16" x14ac:dyDescent="0.35">
      <c r="A64" s="11" t="s">
        <v>234</v>
      </c>
      <c r="B64" s="17">
        <v>45793</v>
      </c>
      <c r="C64" s="11" t="s">
        <v>100</v>
      </c>
      <c r="D64" s="11" t="s">
        <v>101</v>
      </c>
      <c r="E64" s="11" t="s">
        <v>40</v>
      </c>
      <c r="F64" s="11" t="s">
        <v>14</v>
      </c>
      <c r="G64" s="11" t="s">
        <v>16</v>
      </c>
      <c r="H64" s="11" t="s">
        <v>71</v>
      </c>
      <c r="I64" s="11" t="s">
        <v>72</v>
      </c>
      <c r="J64" s="11" t="s">
        <v>56</v>
      </c>
      <c r="K64" s="11" t="s">
        <v>106</v>
      </c>
      <c r="L64" s="11">
        <v>3</v>
      </c>
      <c r="M64" s="14">
        <v>200000</v>
      </c>
      <c r="N64" s="15">
        <v>0</v>
      </c>
      <c r="O64" s="14">
        <v>120000</v>
      </c>
      <c r="P64" s="11" t="s">
        <v>30</v>
      </c>
    </row>
    <row r="65" spans="1:16" x14ac:dyDescent="0.35">
      <c r="A65" s="11" t="s">
        <v>235</v>
      </c>
      <c r="B65" s="17">
        <v>45794</v>
      </c>
      <c r="C65" s="11" t="s">
        <v>236</v>
      </c>
      <c r="D65" s="11" t="s">
        <v>237</v>
      </c>
      <c r="E65" s="11" t="s">
        <v>40</v>
      </c>
      <c r="F65" s="11" t="s">
        <v>63</v>
      </c>
      <c r="G65" s="11" t="s">
        <v>238</v>
      </c>
      <c r="H65" s="11" t="s">
        <v>18</v>
      </c>
      <c r="I65" s="11" t="s">
        <v>96</v>
      </c>
      <c r="J65" s="11" t="s">
        <v>73</v>
      </c>
      <c r="K65" s="11" t="s">
        <v>57</v>
      </c>
      <c r="L65" s="11">
        <v>2</v>
      </c>
      <c r="M65" s="14">
        <v>750000</v>
      </c>
      <c r="N65" s="15">
        <v>0.1</v>
      </c>
      <c r="O65" s="14">
        <v>390000</v>
      </c>
      <c r="P65" s="11" t="s">
        <v>30</v>
      </c>
    </row>
    <row r="66" spans="1:16" x14ac:dyDescent="0.35">
      <c r="A66" s="11" t="s">
        <v>239</v>
      </c>
      <c r="B66" s="17">
        <v>45794</v>
      </c>
      <c r="C66" s="11" t="s">
        <v>203</v>
      </c>
      <c r="D66" s="11" t="s">
        <v>204</v>
      </c>
      <c r="E66" s="11" t="s">
        <v>40</v>
      </c>
      <c r="F66" s="11" t="s">
        <v>41</v>
      </c>
      <c r="G66" s="11" t="s">
        <v>80</v>
      </c>
      <c r="H66" s="11" t="s">
        <v>18</v>
      </c>
      <c r="I66" s="11" t="s">
        <v>93</v>
      </c>
      <c r="J66" s="11" t="s">
        <v>73</v>
      </c>
      <c r="K66" s="11" t="s">
        <v>82</v>
      </c>
      <c r="L66" s="11">
        <v>4</v>
      </c>
      <c r="M66" s="14">
        <v>1500000</v>
      </c>
      <c r="N66" s="15">
        <v>0</v>
      </c>
      <c r="O66" s="14">
        <v>800000</v>
      </c>
      <c r="P66" s="11" t="s">
        <v>30</v>
      </c>
    </row>
    <row r="67" spans="1:16" x14ac:dyDescent="0.35">
      <c r="A67" s="11" t="s">
        <v>240</v>
      </c>
      <c r="B67" s="17">
        <v>45795</v>
      </c>
      <c r="C67" s="11" t="s">
        <v>78</v>
      </c>
      <c r="D67" s="11" t="s">
        <v>79</v>
      </c>
      <c r="E67" s="11" t="s">
        <v>40</v>
      </c>
      <c r="F67" s="11" t="s">
        <v>41</v>
      </c>
      <c r="G67" s="11" t="s">
        <v>80</v>
      </c>
      <c r="H67" s="11" t="s">
        <v>18</v>
      </c>
      <c r="I67" s="11" t="s">
        <v>20</v>
      </c>
      <c r="J67" s="11" t="s">
        <v>73</v>
      </c>
      <c r="K67" s="11" t="s">
        <v>88</v>
      </c>
      <c r="L67" s="11">
        <v>1</v>
      </c>
      <c r="M67" s="14">
        <v>1140000</v>
      </c>
      <c r="N67" s="15">
        <v>0</v>
      </c>
      <c r="O67" s="14">
        <v>620000</v>
      </c>
      <c r="P67" s="11" t="s">
        <v>30</v>
      </c>
    </row>
    <row r="68" spans="1:16" x14ac:dyDescent="0.35">
      <c r="A68" s="11" t="s">
        <v>241</v>
      </c>
      <c r="B68" s="17">
        <v>45799</v>
      </c>
      <c r="C68" s="11" t="s">
        <v>178</v>
      </c>
      <c r="D68" s="11" t="s">
        <v>179</v>
      </c>
      <c r="E68" s="11" t="s">
        <v>40</v>
      </c>
      <c r="F68" s="11" t="s">
        <v>41</v>
      </c>
      <c r="G68" s="11" t="s">
        <v>80</v>
      </c>
      <c r="H68" s="11" t="s">
        <v>18</v>
      </c>
      <c r="I68" s="11" t="s">
        <v>96</v>
      </c>
      <c r="J68" s="11" t="s">
        <v>56</v>
      </c>
      <c r="K68" s="11" t="s">
        <v>24</v>
      </c>
      <c r="L68" s="11">
        <v>2</v>
      </c>
      <c r="M68" s="14">
        <v>750000</v>
      </c>
      <c r="N68" s="15">
        <v>0</v>
      </c>
      <c r="O68" s="14">
        <v>390000</v>
      </c>
      <c r="P68" s="11" t="s">
        <v>30</v>
      </c>
    </row>
    <row r="69" spans="1:16" x14ac:dyDescent="0.35">
      <c r="A69" s="11" t="s">
        <v>242</v>
      </c>
      <c r="B69" s="17">
        <v>45812</v>
      </c>
      <c r="C69" s="11" t="s">
        <v>196</v>
      </c>
      <c r="D69" s="11" t="s">
        <v>197</v>
      </c>
      <c r="E69" s="11" t="s">
        <v>40</v>
      </c>
      <c r="F69" s="11" t="s">
        <v>41</v>
      </c>
      <c r="G69" s="11" t="s">
        <v>42</v>
      </c>
      <c r="H69" s="11" t="s">
        <v>43</v>
      </c>
      <c r="I69" s="11" t="s">
        <v>44</v>
      </c>
      <c r="J69" s="11" t="s">
        <v>56</v>
      </c>
      <c r="K69" s="11" t="s">
        <v>24</v>
      </c>
      <c r="L69" s="11">
        <v>1</v>
      </c>
      <c r="M69" s="14">
        <v>560000</v>
      </c>
      <c r="N69" s="15">
        <v>0.2</v>
      </c>
      <c r="O69" s="14">
        <v>260000</v>
      </c>
      <c r="P69" s="11" t="s">
        <v>58</v>
      </c>
    </row>
    <row r="70" spans="1:16" x14ac:dyDescent="0.35">
      <c r="A70" s="11" t="s">
        <v>243</v>
      </c>
      <c r="B70" s="17">
        <v>45816</v>
      </c>
      <c r="C70" s="11" t="s">
        <v>103</v>
      </c>
      <c r="D70" s="11" t="s">
        <v>104</v>
      </c>
      <c r="E70" s="11" t="s">
        <v>40</v>
      </c>
      <c r="F70" s="11" t="s">
        <v>14</v>
      </c>
      <c r="G70" s="11" t="s">
        <v>105</v>
      </c>
      <c r="H70" s="11" t="s">
        <v>18</v>
      </c>
      <c r="I70" s="18" t="s">
        <v>244</v>
      </c>
      <c r="J70" s="11" t="s">
        <v>56</v>
      </c>
      <c r="K70" s="11" t="s">
        <v>57</v>
      </c>
      <c r="L70" s="11">
        <v>4</v>
      </c>
      <c r="M70" s="14">
        <v>1200000</v>
      </c>
      <c r="N70" s="15">
        <v>0</v>
      </c>
      <c r="O70" s="14">
        <v>620000</v>
      </c>
      <c r="P70" s="11" t="s">
        <v>30</v>
      </c>
    </row>
    <row r="71" spans="1:16" x14ac:dyDescent="0.35">
      <c r="A71" s="11" t="s">
        <v>245</v>
      </c>
      <c r="B71" s="17">
        <v>45817</v>
      </c>
      <c r="C71" s="11" t="s">
        <v>171</v>
      </c>
      <c r="D71" s="11" t="s">
        <v>172</v>
      </c>
      <c r="E71" s="11" t="s">
        <v>12</v>
      </c>
      <c r="F71" s="11" t="s">
        <v>41</v>
      </c>
      <c r="G71" s="11" t="s">
        <v>173</v>
      </c>
      <c r="H71" s="11" t="s">
        <v>54</v>
      </c>
      <c r="I71" s="11" t="s">
        <v>131</v>
      </c>
      <c r="J71" s="11" t="s">
        <v>56</v>
      </c>
      <c r="K71" s="11" t="s">
        <v>57</v>
      </c>
      <c r="L71" s="11">
        <v>6</v>
      </c>
      <c r="M71" s="14">
        <v>690000</v>
      </c>
      <c r="N71" s="15">
        <v>0.2</v>
      </c>
      <c r="O71" s="14">
        <v>410000</v>
      </c>
      <c r="P71" s="11" t="s">
        <v>58</v>
      </c>
    </row>
    <row r="72" spans="1:16" x14ac:dyDescent="0.35">
      <c r="A72" s="11" t="s">
        <v>246</v>
      </c>
      <c r="B72" s="17">
        <v>45819</v>
      </c>
      <c r="C72" s="11" t="s">
        <v>118</v>
      </c>
      <c r="D72" s="11" t="s">
        <v>119</v>
      </c>
      <c r="E72" s="11" t="s">
        <v>40</v>
      </c>
      <c r="F72" s="11" t="s">
        <v>14</v>
      </c>
      <c r="G72" s="11" t="s">
        <v>16</v>
      </c>
      <c r="H72" s="11" t="s">
        <v>43</v>
      </c>
      <c r="I72" s="11" t="s">
        <v>48</v>
      </c>
      <c r="J72" s="11" t="s">
        <v>56</v>
      </c>
      <c r="K72" s="11" t="s">
        <v>88</v>
      </c>
      <c r="L72" s="11">
        <v>4</v>
      </c>
      <c r="M72" s="14">
        <v>290000</v>
      </c>
      <c r="N72" s="15">
        <v>0.15</v>
      </c>
      <c r="O72" s="14">
        <v>120000</v>
      </c>
      <c r="P72" s="11" t="s">
        <v>30</v>
      </c>
    </row>
    <row r="73" spans="1:16" x14ac:dyDescent="0.35">
      <c r="A73" s="11" t="s">
        <v>247</v>
      </c>
      <c r="B73" s="17">
        <v>45819</v>
      </c>
      <c r="C73" s="11" t="s">
        <v>68</v>
      </c>
      <c r="D73" s="11" t="s">
        <v>69</v>
      </c>
      <c r="E73" s="11" t="s">
        <v>40</v>
      </c>
      <c r="F73" s="11" t="s">
        <v>14</v>
      </c>
      <c r="G73" s="11" t="s">
        <v>70</v>
      </c>
      <c r="H73" s="11" t="s">
        <v>18</v>
      </c>
      <c r="I73" s="11" t="s">
        <v>120</v>
      </c>
      <c r="J73" s="11" t="s">
        <v>22</v>
      </c>
      <c r="K73" s="11" t="s">
        <v>106</v>
      </c>
      <c r="L73" s="11">
        <v>2</v>
      </c>
      <c r="M73" s="14">
        <v>280000</v>
      </c>
      <c r="N73" s="15">
        <v>0</v>
      </c>
      <c r="O73" s="14">
        <v>130000</v>
      </c>
      <c r="P73" s="11" t="s">
        <v>30</v>
      </c>
    </row>
    <row r="74" spans="1:16" x14ac:dyDescent="0.35">
      <c r="A74" s="11" t="s">
        <v>248</v>
      </c>
      <c r="B74" s="17">
        <v>45824</v>
      </c>
      <c r="C74" s="11" t="s">
        <v>103</v>
      </c>
      <c r="D74" s="11" t="s">
        <v>104</v>
      </c>
      <c r="E74" s="11" t="s">
        <v>40</v>
      </c>
      <c r="F74" s="11" t="s">
        <v>14</v>
      </c>
      <c r="G74" s="11" t="s">
        <v>105</v>
      </c>
      <c r="H74" s="11" t="s">
        <v>18</v>
      </c>
      <c r="I74" s="11" t="s">
        <v>120</v>
      </c>
      <c r="J74" s="11" t="s">
        <v>22</v>
      </c>
      <c r="K74" s="11" t="s">
        <v>24</v>
      </c>
      <c r="L74" s="11">
        <v>2</v>
      </c>
      <c r="M74" s="14">
        <v>280000</v>
      </c>
      <c r="N74" s="15">
        <v>0</v>
      </c>
      <c r="O74" s="14">
        <v>130000</v>
      </c>
      <c r="P74" s="11" t="s">
        <v>30</v>
      </c>
    </row>
    <row r="75" spans="1:16" x14ac:dyDescent="0.35">
      <c r="A75" s="11" t="s">
        <v>249</v>
      </c>
      <c r="B75" s="13" t="s">
        <v>250</v>
      </c>
      <c r="C75" s="11" t="s">
        <v>222</v>
      </c>
      <c r="D75" s="11" t="s">
        <v>223</v>
      </c>
      <c r="E75" s="11" t="s">
        <v>40</v>
      </c>
      <c r="F75" s="11" t="s">
        <v>14</v>
      </c>
      <c r="G75" s="11" t="s">
        <v>70</v>
      </c>
      <c r="H75" s="11" t="s">
        <v>18</v>
      </c>
      <c r="I75" s="11" t="s">
        <v>120</v>
      </c>
      <c r="J75" s="11" t="s">
        <v>22</v>
      </c>
      <c r="K75" s="11" t="s">
        <v>57</v>
      </c>
      <c r="L75" s="11">
        <v>1</v>
      </c>
      <c r="M75" s="14">
        <v>280000</v>
      </c>
      <c r="N75" s="15">
        <v>0.05</v>
      </c>
      <c r="O75" s="14">
        <v>130000</v>
      </c>
      <c r="P75" s="11" t="s">
        <v>58</v>
      </c>
    </row>
    <row r="76" spans="1:16" x14ac:dyDescent="0.35">
      <c r="A76" s="11" t="s">
        <v>251</v>
      </c>
      <c r="B76" s="17">
        <v>45827</v>
      </c>
      <c r="C76" s="11" t="s">
        <v>90</v>
      </c>
      <c r="D76" s="11" t="s">
        <v>91</v>
      </c>
      <c r="E76" s="11" t="s">
        <v>40</v>
      </c>
      <c r="F76" s="11" t="s">
        <v>63</v>
      </c>
      <c r="G76" s="11" t="s">
        <v>92</v>
      </c>
      <c r="H76" s="11" t="s">
        <v>54</v>
      </c>
      <c r="I76" s="18" t="s">
        <v>252</v>
      </c>
      <c r="J76" s="11" t="s">
        <v>22</v>
      </c>
      <c r="K76" s="11" t="s">
        <v>76</v>
      </c>
      <c r="L76" s="11">
        <v>1</v>
      </c>
      <c r="M76" s="14">
        <v>1900000</v>
      </c>
      <c r="N76" s="15">
        <v>0</v>
      </c>
      <c r="O76" s="14">
        <v>1200000</v>
      </c>
      <c r="P76" s="11" t="s">
        <v>30</v>
      </c>
    </row>
    <row r="77" spans="1:16" x14ac:dyDescent="0.35">
      <c r="A77" s="11" t="s">
        <v>253</v>
      </c>
      <c r="B77" s="17">
        <v>45828</v>
      </c>
      <c r="C77" s="11" t="s">
        <v>254</v>
      </c>
      <c r="D77" s="11" t="s">
        <v>255</v>
      </c>
      <c r="E77" s="11" t="s">
        <v>40</v>
      </c>
      <c r="F77" s="11" t="s">
        <v>14</v>
      </c>
      <c r="G77" s="11" t="s">
        <v>16</v>
      </c>
      <c r="H77" s="11" t="s">
        <v>18</v>
      </c>
      <c r="I77" s="11" t="s">
        <v>93</v>
      </c>
      <c r="J77" s="11" t="s">
        <v>22</v>
      </c>
      <c r="K77" s="11" t="s">
        <v>24</v>
      </c>
      <c r="L77" s="11">
        <v>4</v>
      </c>
      <c r="M77" s="14">
        <v>1500000</v>
      </c>
      <c r="N77" s="15">
        <v>0</v>
      </c>
      <c r="O77" s="14">
        <v>800000</v>
      </c>
      <c r="P77" s="11" t="s">
        <v>30</v>
      </c>
    </row>
    <row r="78" spans="1:16" x14ac:dyDescent="0.35">
      <c r="A78" s="11" t="s">
        <v>256</v>
      </c>
      <c r="B78" s="17">
        <v>45829</v>
      </c>
      <c r="C78" s="11" t="s">
        <v>157</v>
      </c>
      <c r="D78" s="11" t="s">
        <v>158</v>
      </c>
      <c r="E78" s="11" t="s">
        <v>40</v>
      </c>
      <c r="F78" s="11" t="s">
        <v>41</v>
      </c>
      <c r="G78" s="11" t="s">
        <v>80</v>
      </c>
      <c r="H78" s="11" t="s">
        <v>43</v>
      </c>
      <c r="I78" s="11" t="s">
        <v>48</v>
      </c>
      <c r="J78" s="11" t="s">
        <v>56</v>
      </c>
      <c r="K78" s="11" t="s">
        <v>88</v>
      </c>
      <c r="L78" s="11">
        <v>1</v>
      </c>
      <c r="M78" s="14">
        <v>304000</v>
      </c>
      <c r="N78" s="15">
        <v>0.05</v>
      </c>
      <c r="O78" s="14">
        <v>120000</v>
      </c>
      <c r="P78" s="11" t="s">
        <v>30</v>
      </c>
    </row>
    <row r="79" spans="1:16" x14ac:dyDescent="0.35">
      <c r="A79" s="11" t="s">
        <v>257</v>
      </c>
      <c r="B79" s="17">
        <v>45830</v>
      </c>
      <c r="C79" s="11" t="s">
        <v>95</v>
      </c>
      <c r="D79" s="11" t="s">
        <v>10</v>
      </c>
      <c r="E79" s="11" t="s">
        <v>12</v>
      </c>
      <c r="F79" s="11" t="s">
        <v>41</v>
      </c>
      <c r="G79" s="11" t="s">
        <v>42</v>
      </c>
      <c r="H79" s="11" t="s">
        <v>54</v>
      </c>
      <c r="I79" s="11" t="s">
        <v>220</v>
      </c>
      <c r="J79" s="11" t="s">
        <v>56</v>
      </c>
      <c r="K79" s="11" t="s">
        <v>49</v>
      </c>
      <c r="L79" s="11">
        <v>2</v>
      </c>
      <c r="M79" s="14">
        <v>450000</v>
      </c>
      <c r="N79" s="15">
        <v>0.15</v>
      </c>
      <c r="O79" s="14">
        <v>260000</v>
      </c>
      <c r="P79" s="11" t="s">
        <v>30</v>
      </c>
    </row>
    <row r="80" spans="1:16" x14ac:dyDescent="0.35">
      <c r="A80" s="11" t="s">
        <v>258</v>
      </c>
      <c r="B80" s="17">
        <v>45832</v>
      </c>
      <c r="C80" s="11" t="s">
        <v>178</v>
      </c>
      <c r="D80" s="11" t="s">
        <v>179</v>
      </c>
      <c r="E80" s="11" t="s">
        <v>40</v>
      </c>
      <c r="F80" s="11" t="s">
        <v>41</v>
      </c>
      <c r="G80" s="11" t="s">
        <v>80</v>
      </c>
      <c r="H80" s="11" t="s">
        <v>18</v>
      </c>
      <c r="I80" s="11" t="s">
        <v>120</v>
      </c>
      <c r="J80" s="11" t="s">
        <v>22</v>
      </c>
      <c r="K80" s="11" t="s">
        <v>24</v>
      </c>
      <c r="L80" s="11">
        <v>4</v>
      </c>
      <c r="M80" s="14">
        <v>294000</v>
      </c>
      <c r="N80" s="15">
        <v>0.05</v>
      </c>
      <c r="O80" s="14">
        <v>130000</v>
      </c>
      <c r="P80" s="11" t="s">
        <v>30</v>
      </c>
    </row>
    <row r="81" spans="1:16" x14ac:dyDescent="0.35">
      <c r="A81" s="11" t="s">
        <v>259</v>
      </c>
      <c r="B81" s="17">
        <v>45833</v>
      </c>
      <c r="C81" s="11" t="s">
        <v>133</v>
      </c>
      <c r="D81" s="11" t="s">
        <v>134</v>
      </c>
      <c r="E81" s="11" t="s">
        <v>40</v>
      </c>
      <c r="F81" s="11" t="s">
        <v>14</v>
      </c>
      <c r="G81" s="11" t="s">
        <v>135</v>
      </c>
      <c r="H81" s="11" t="s">
        <v>18</v>
      </c>
      <c r="I81" s="11" t="s">
        <v>96</v>
      </c>
      <c r="J81" s="11" t="s">
        <v>56</v>
      </c>
      <c r="K81" s="11" t="s">
        <v>49</v>
      </c>
      <c r="L81" s="11">
        <v>3</v>
      </c>
      <c r="M81" s="14">
        <v>750000</v>
      </c>
      <c r="N81" s="21">
        <v>5</v>
      </c>
      <c r="O81" s="14">
        <v>390000</v>
      </c>
      <c r="P81" s="11" t="s">
        <v>30</v>
      </c>
    </row>
    <row r="82" spans="1:16" x14ac:dyDescent="0.35">
      <c r="A82" s="11" t="s">
        <v>260</v>
      </c>
      <c r="B82" s="17">
        <v>45834</v>
      </c>
      <c r="C82" s="11" t="s">
        <v>113</v>
      </c>
      <c r="D82" s="11" t="s">
        <v>114</v>
      </c>
      <c r="E82" s="11" t="s">
        <v>40</v>
      </c>
      <c r="F82" s="11" t="s">
        <v>14</v>
      </c>
      <c r="G82" s="11" t="s">
        <v>70</v>
      </c>
      <c r="H82" s="11" t="s">
        <v>71</v>
      </c>
      <c r="I82" s="11" t="s">
        <v>87</v>
      </c>
      <c r="J82" s="11" t="s">
        <v>56</v>
      </c>
      <c r="K82" s="11" t="s">
        <v>76</v>
      </c>
      <c r="L82" s="11">
        <v>1</v>
      </c>
      <c r="M82" s="14">
        <v>380000</v>
      </c>
      <c r="N82" s="15">
        <v>0</v>
      </c>
      <c r="O82" s="14">
        <v>250000</v>
      </c>
      <c r="P82" s="11" t="s">
        <v>30</v>
      </c>
    </row>
    <row r="83" spans="1:16" x14ac:dyDescent="0.35">
      <c r="A83" s="11" t="s">
        <v>261</v>
      </c>
      <c r="B83" s="17">
        <v>45834</v>
      </c>
      <c r="C83" s="11" t="s">
        <v>236</v>
      </c>
      <c r="D83" s="11" t="s">
        <v>237</v>
      </c>
      <c r="E83" s="11" t="s">
        <v>40</v>
      </c>
      <c r="F83" s="11" t="s">
        <v>63</v>
      </c>
      <c r="G83" s="11" t="s">
        <v>238</v>
      </c>
      <c r="H83" s="11" t="s">
        <v>65</v>
      </c>
      <c r="I83" s="11" t="s">
        <v>262</v>
      </c>
      <c r="J83" s="11" t="s">
        <v>22</v>
      </c>
      <c r="K83" s="11" t="s">
        <v>106</v>
      </c>
      <c r="L83" s="11">
        <v>1</v>
      </c>
      <c r="M83" s="14">
        <v>2520000</v>
      </c>
      <c r="N83" s="15">
        <v>0</v>
      </c>
      <c r="O83" s="14">
        <v>1550000</v>
      </c>
      <c r="P83" s="11" t="s">
        <v>30</v>
      </c>
    </row>
    <row r="84" spans="1:16" x14ac:dyDescent="0.35">
      <c r="A84" s="11" t="s">
        <v>263</v>
      </c>
      <c r="B84" s="17">
        <v>45835</v>
      </c>
      <c r="C84" s="11" t="s">
        <v>188</v>
      </c>
      <c r="D84" s="11" t="s">
        <v>189</v>
      </c>
      <c r="E84" s="11" t="s">
        <v>40</v>
      </c>
      <c r="F84" s="11" t="s">
        <v>14</v>
      </c>
      <c r="G84" s="11" t="s">
        <v>16</v>
      </c>
      <c r="H84" s="11" t="s">
        <v>65</v>
      </c>
      <c r="I84" s="11" t="s">
        <v>201</v>
      </c>
      <c r="J84" s="11" t="s">
        <v>22</v>
      </c>
      <c r="K84" s="11" t="s">
        <v>24</v>
      </c>
      <c r="L84" s="11">
        <v>3</v>
      </c>
      <c r="M84" s="14">
        <v>1029000</v>
      </c>
      <c r="N84" s="15">
        <v>0</v>
      </c>
      <c r="O84" s="14">
        <v>600000</v>
      </c>
      <c r="P84" s="11" t="s">
        <v>30</v>
      </c>
    </row>
    <row r="85" spans="1:16" x14ac:dyDescent="0.35">
      <c r="A85" s="11" t="s">
        <v>264</v>
      </c>
      <c r="B85" s="17">
        <v>45838</v>
      </c>
      <c r="C85" s="11" t="s">
        <v>68</v>
      </c>
      <c r="D85" s="11" t="s">
        <v>69</v>
      </c>
      <c r="E85" s="11" t="s">
        <v>40</v>
      </c>
      <c r="F85" s="11" t="s">
        <v>14</v>
      </c>
      <c r="G85" s="11" t="s">
        <v>70</v>
      </c>
      <c r="H85" s="11" t="s">
        <v>71</v>
      </c>
      <c r="I85" s="11" t="s">
        <v>72</v>
      </c>
      <c r="J85" s="11" t="s">
        <v>56</v>
      </c>
      <c r="K85" s="11" t="s">
        <v>49</v>
      </c>
      <c r="L85" s="11">
        <v>1</v>
      </c>
      <c r="M85" s="14">
        <v>210000</v>
      </c>
      <c r="N85" s="15">
        <v>0.1</v>
      </c>
      <c r="O85" s="14">
        <v>120000</v>
      </c>
      <c r="P85" s="11" t="s">
        <v>30</v>
      </c>
    </row>
    <row r="86" spans="1:16" x14ac:dyDescent="0.35">
      <c r="A86" s="11" t="s">
        <v>265</v>
      </c>
      <c r="B86" s="17">
        <v>45838</v>
      </c>
      <c r="C86" s="11" t="s">
        <v>266</v>
      </c>
      <c r="D86" s="11" t="s">
        <v>267</v>
      </c>
      <c r="E86" s="11" t="s">
        <v>40</v>
      </c>
      <c r="F86" s="11" t="s">
        <v>41</v>
      </c>
      <c r="G86" s="11" t="s">
        <v>86</v>
      </c>
      <c r="H86" s="11" t="s">
        <v>71</v>
      </c>
      <c r="I86" s="11" t="s">
        <v>72</v>
      </c>
      <c r="J86" s="11" t="s">
        <v>73</v>
      </c>
      <c r="K86" s="11" t="s">
        <v>24</v>
      </c>
      <c r="L86" s="11">
        <v>2</v>
      </c>
      <c r="M86" s="14">
        <v>220000</v>
      </c>
      <c r="N86" s="15">
        <v>0.15</v>
      </c>
      <c r="O86" s="14">
        <v>120000</v>
      </c>
      <c r="P86" s="11" t="s">
        <v>30</v>
      </c>
    </row>
    <row r="87" spans="1:16" x14ac:dyDescent="0.35">
      <c r="A87" s="11" t="s">
        <v>268</v>
      </c>
      <c r="B87" s="13" t="s">
        <v>269</v>
      </c>
      <c r="C87" s="11" t="s">
        <v>118</v>
      </c>
      <c r="D87" s="11" t="s">
        <v>119</v>
      </c>
      <c r="E87" s="11" t="s">
        <v>40</v>
      </c>
      <c r="F87" s="11" t="s">
        <v>14</v>
      </c>
      <c r="G87" s="11" t="s">
        <v>16</v>
      </c>
      <c r="H87" s="11" t="s">
        <v>54</v>
      </c>
      <c r="I87" s="11" t="s">
        <v>220</v>
      </c>
      <c r="J87" s="11" t="s">
        <v>56</v>
      </c>
      <c r="K87" s="11" t="s">
        <v>88</v>
      </c>
      <c r="L87" s="11">
        <v>1</v>
      </c>
      <c r="M87" s="14">
        <v>450000</v>
      </c>
      <c r="N87" s="15">
        <v>0.05</v>
      </c>
      <c r="O87" s="14">
        <v>260000</v>
      </c>
      <c r="P87" s="11" t="s">
        <v>30</v>
      </c>
    </row>
    <row r="88" spans="1:16" x14ac:dyDescent="0.35">
      <c r="A88" s="11" t="s">
        <v>270</v>
      </c>
      <c r="B88" s="17">
        <v>45842</v>
      </c>
      <c r="C88" s="11" t="s">
        <v>271</v>
      </c>
      <c r="D88" s="11" t="s">
        <v>272</v>
      </c>
      <c r="E88" s="11" t="s">
        <v>40</v>
      </c>
      <c r="F88" s="18" t="s">
        <v>273</v>
      </c>
      <c r="G88" s="11" t="s">
        <v>135</v>
      </c>
      <c r="H88" s="11" t="s">
        <v>71</v>
      </c>
      <c r="I88" s="11" t="s">
        <v>72</v>
      </c>
      <c r="J88" s="11" t="s">
        <v>56</v>
      </c>
      <c r="K88" s="11" t="s">
        <v>24</v>
      </c>
      <c r="L88" s="11">
        <v>1</v>
      </c>
      <c r="M88" s="14">
        <v>210000</v>
      </c>
      <c r="N88" s="15">
        <v>0.1</v>
      </c>
      <c r="O88" s="14">
        <v>120000</v>
      </c>
      <c r="P88" s="11" t="s">
        <v>30</v>
      </c>
    </row>
    <row r="89" spans="1:16" x14ac:dyDescent="0.35">
      <c r="A89" s="11" t="s">
        <v>274</v>
      </c>
      <c r="B89" s="17">
        <v>45844</v>
      </c>
      <c r="C89" s="11" t="s">
        <v>175</v>
      </c>
      <c r="D89" s="11" t="s">
        <v>176</v>
      </c>
      <c r="E89" s="11" t="s">
        <v>12</v>
      </c>
      <c r="F89" s="11" t="s">
        <v>41</v>
      </c>
      <c r="G89" s="11" t="s">
        <v>80</v>
      </c>
      <c r="H89" s="11" t="s">
        <v>54</v>
      </c>
      <c r="I89" s="11" t="s">
        <v>220</v>
      </c>
      <c r="J89" s="11" t="s">
        <v>22</v>
      </c>
      <c r="K89" s="11" t="s">
        <v>76</v>
      </c>
      <c r="L89" s="11">
        <v>5</v>
      </c>
      <c r="M89" s="14">
        <v>450000</v>
      </c>
      <c r="N89" s="15">
        <v>0</v>
      </c>
      <c r="O89" s="14">
        <v>260000</v>
      </c>
      <c r="P89" s="18" t="s">
        <v>275</v>
      </c>
    </row>
    <row r="90" spans="1:16" x14ac:dyDescent="0.35">
      <c r="A90" s="11" t="s">
        <v>276</v>
      </c>
      <c r="B90" s="17">
        <v>45847</v>
      </c>
      <c r="C90" s="11" t="s">
        <v>95</v>
      </c>
      <c r="D90" s="11" t="s">
        <v>10</v>
      </c>
      <c r="E90" s="11" t="s">
        <v>12</v>
      </c>
      <c r="F90" s="11" t="s">
        <v>41</v>
      </c>
      <c r="G90" s="11" t="s">
        <v>42</v>
      </c>
      <c r="H90" s="11" t="s">
        <v>43</v>
      </c>
      <c r="I90" s="11" t="s">
        <v>127</v>
      </c>
      <c r="J90" s="11" t="s">
        <v>22</v>
      </c>
      <c r="K90" s="11" t="s">
        <v>88</v>
      </c>
      <c r="L90" s="11">
        <v>3</v>
      </c>
      <c r="M90" s="14">
        <v>304000</v>
      </c>
      <c r="N90" s="15">
        <v>0.05</v>
      </c>
      <c r="O90" s="14">
        <v>150000</v>
      </c>
      <c r="P90" s="11" t="s">
        <v>30</v>
      </c>
    </row>
    <row r="91" spans="1:16" x14ac:dyDescent="0.35">
      <c r="A91" s="11" t="s">
        <v>277</v>
      </c>
      <c r="B91" s="17">
        <v>45856</v>
      </c>
      <c r="C91" s="11" t="s">
        <v>181</v>
      </c>
      <c r="D91" s="11" t="s">
        <v>182</v>
      </c>
      <c r="E91" s="11" t="s">
        <v>40</v>
      </c>
      <c r="F91" s="11" t="s">
        <v>41</v>
      </c>
      <c r="G91" s="11" t="s">
        <v>173</v>
      </c>
      <c r="H91" s="11" t="s">
        <v>54</v>
      </c>
      <c r="I91" s="11" t="s">
        <v>220</v>
      </c>
      <c r="J91" s="11" t="s">
        <v>56</v>
      </c>
      <c r="K91" s="11" t="s">
        <v>159</v>
      </c>
      <c r="L91" s="11">
        <v>4</v>
      </c>
      <c r="M91" s="14">
        <v>472000</v>
      </c>
      <c r="N91" s="15">
        <v>0.05</v>
      </c>
      <c r="O91" s="14">
        <v>260000</v>
      </c>
      <c r="P91" s="11" t="s">
        <v>30</v>
      </c>
    </row>
    <row r="92" spans="1:16" x14ac:dyDescent="0.35">
      <c r="A92" s="11" t="s">
        <v>278</v>
      </c>
      <c r="B92" s="17">
        <v>45856</v>
      </c>
      <c r="C92" s="11" t="s">
        <v>222</v>
      </c>
      <c r="D92" s="11" t="s">
        <v>223</v>
      </c>
      <c r="E92" s="11" t="s">
        <v>40</v>
      </c>
      <c r="F92" s="11" t="s">
        <v>14</v>
      </c>
      <c r="G92" s="11" t="s">
        <v>70</v>
      </c>
      <c r="H92" s="11" t="s">
        <v>65</v>
      </c>
      <c r="I92" s="11" t="s">
        <v>262</v>
      </c>
      <c r="J92" s="11" t="s">
        <v>56</v>
      </c>
      <c r="K92" s="11" t="s">
        <v>88</v>
      </c>
      <c r="L92" s="11">
        <v>2</v>
      </c>
      <c r="M92" s="14">
        <v>2400000</v>
      </c>
      <c r="N92" s="15">
        <v>0.1</v>
      </c>
      <c r="O92" s="14">
        <v>1550000</v>
      </c>
      <c r="P92" s="11" t="s">
        <v>30</v>
      </c>
    </row>
    <row r="93" spans="1:16" x14ac:dyDescent="0.35">
      <c r="A93" s="11" t="s">
        <v>279</v>
      </c>
      <c r="B93" s="17">
        <v>45857</v>
      </c>
      <c r="C93" s="11" t="s">
        <v>188</v>
      </c>
      <c r="D93" s="11" t="s">
        <v>189</v>
      </c>
      <c r="E93" s="11" t="s">
        <v>40</v>
      </c>
      <c r="F93" s="11" t="s">
        <v>14</v>
      </c>
      <c r="G93" s="11" t="s">
        <v>16</v>
      </c>
      <c r="H93" s="11" t="s">
        <v>54</v>
      </c>
      <c r="I93" s="11" t="s">
        <v>75</v>
      </c>
      <c r="J93" s="11" t="s">
        <v>56</v>
      </c>
      <c r="K93" s="11" t="s">
        <v>57</v>
      </c>
      <c r="L93" s="11">
        <v>2</v>
      </c>
      <c r="M93" s="14">
        <v>1900000</v>
      </c>
      <c r="N93" s="15">
        <v>0.15</v>
      </c>
      <c r="O93" s="14">
        <v>1200000</v>
      </c>
      <c r="P93" s="11" t="s">
        <v>30</v>
      </c>
    </row>
    <row r="94" spans="1:16" x14ac:dyDescent="0.35">
      <c r="A94" s="11" t="s">
        <v>280</v>
      </c>
      <c r="B94" s="17">
        <v>45859</v>
      </c>
      <c r="C94" s="11" t="s">
        <v>281</v>
      </c>
      <c r="D94" s="11" t="s">
        <v>282</v>
      </c>
      <c r="E94" s="11" t="s">
        <v>12</v>
      </c>
      <c r="F94" s="11" t="s">
        <v>63</v>
      </c>
      <c r="G94" s="11" t="s">
        <v>64</v>
      </c>
      <c r="H94" s="11" t="s">
        <v>54</v>
      </c>
      <c r="I94" s="11" t="s">
        <v>131</v>
      </c>
      <c r="J94" s="11" t="s">
        <v>97</v>
      </c>
      <c r="K94" s="11" t="s">
        <v>57</v>
      </c>
      <c r="L94" s="11">
        <v>5</v>
      </c>
      <c r="M94" s="14">
        <v>724000</v>
      </c>
      <c r="N94" s="15">
        <v>0.05</v>
      </c>
      <c r="O94" s="14">
        <v>410000</v>
      </c>
      <c r="P94" s="18" t="s">
        <v>224</v>
      </c>
    </row>
    <row r="95" spans="1:16" x14ac:dyDescent="0.35">
      <c r="A95" s="11" t="s">
        <v>283</v>
      </c>
      <c r="B95" s="17">
        <v>45860</v>
      </c>
      <c r="C95" s="11" t="s">
        <v>164</v>
      </c>
      <c r="D95" s="11" t="s">
        <v>165</v>
      </c>
      <c r="E95" s="11" t="s">
        <v>12</v>
      </c>
      <c r="F95" s="11" t="s">
        <v>14</v>
      </c>
      <c r="G95" s="11" t="s">
        <v>16</v>
      </c>
      <c r="H95" s="11" t="s">
        <v>18</v>
      </c>
      <c r="I95" s="11" t="s">
        <v>20</v>
      </c>
      <c r="J95" s="11" t="s">
        <v>22</v>
      </c>
      <c r="K95" s="11" t="s">
        <v>24</v>
      </c>
      <c r="L95" s="11">
        <v>5</v>
      </c>
      <c r="M95" s="14">
        <v>1140000</v>
      </c>
      <c r="N95" s="15">
        <v>0.05</v>
      </c>
      <c r="O95" s="14">
        <v>620000</v>
      </c>
      <c r="P95" s="11" t="s">
        <v>30</v>
      </c>
    </row>
    <row r="96" spans="1:16" x14ac:dyDescent="0.35">
      <c r="A96" s="11" t="s">
        <v>284</v>
      </c>
      <c r="B96" s="17">
        <v>45861</v>
      </c>
      <c r="C96" s="11" t="s">
        <v>285</v>
      </c>
      <c r="D96" s="11" t="s">
        <v>286</v>
      </c>
      <c r="E96" s="11" t="s">
        <v>12</v>
      </c>
      <c r="F96" s="11" t="s">
        <v>14</v>
      </c>
      <c r="G96" s="11" t="s">
        <v>70</v>
      </c>
      <c r="H96" s="11" t="s">
        <v>18</v>
      </c>
      <c r="I96" s="11" t="s">
        <v>93</v>
      </c>
      <c r="J96" s="11" t="s">
        <v>97</v>
      </c>
      <c r="K96" s="11" t="s">
        <v>106</v>
      </c>
      <c r="L96" s="11">
        <v>6</v>
      </c>
      <c r="M96" s="14">
        <v>1500000</v>
      </c>
      <c r="N96" s="15">
        <v>0.1</v>
      </c>
      <c r="O96" s="14">
        <v>800000</v>
      </c>
      <c r="P96" s="11" t="s">
        <v>30</v>
      </c>
    </row>
    <row r="97" spans="1:16" x14ac:dyDescent="0.35">
      <c r="A97" s="11" t="s">
        <v>287</v>
      </c>
      <c r="B97" s="17">
        <v>45865</v>
      </c>
      <c r="C97" s="11" t="s">
        <v>142</v>
      </c>
      <c r="D97" s="11" t="s">
        <v>143</v>
      </c>
      <c r="E97" s="11" t="s">
        <v>12</v>
      </c>
      <c r="F97" s="11" t="s">
        <v>41</v>
      </c>
      <c r="G97" s="11" t="s">
        <v>42</v>
      </c>
      <c r="H97" s="11" t="s">
        <v>18</v>
      </c>
      <c r="I97" s="11" t="s">
        <v>93</v>
      </c>
      <c r="J97" s="11" t="s">
        <v>97</v>
      </c>
      <c r="K97" s="11" t="s">
        <v>82</v>
      </c>
      <c r="L97" s="11">
        <v>3</v>
      </c>
      <c r="M97" s="14">
        <v>1575000</v>
      </c>
      <c r="N97" s="15">
        <v>0.15</v>
      </c>
      <c r="O97" s="14">
        <v>800000</v>
      </c>
      <c r="P97" s="11" t="s">
        <v>98</v>
      </c>
    </row>
    <row r="98" spans="1:16" x14ac:dyDescent="0.35">
      <c r="A98" s="11" t="s">
        <v>288</v>
      </c>
      <c r="B98" s="17">
        <v>45865</v>
      </c>
      <c r="C98" s="11" t="s">
        <v>213</v>
      </c>
      <c r="D98" s="11" t="s">
        <v>214</v>
      </c>
      <c r="E98" s="11" t="s">
        <v>40</v>
      </c>
      <c r="F98" s="11" t="s">
        <v>14</v>
      </c>
      <c r="G98" s="11" t="s">
        <v>70</v>
      </c>
      <c r="H98" s="11" t="s">
        <v>43</v>
      </c>
      <c r="I98" s="11" t="s">
        <v>48</v>
      </c>
      <c r="J98" s="11" t="s">
        <v>73</v>
      </c>
      <c r="K98" s="11" t="s">
        <v>76</v>
      </c>
      <c r="L98" s="11">
        <v>1</v>
      </c>
      <c r="M98" s="14">
        <v>290000</v>
      </c>
      <c r="N98" s="15">
        <v>0.1</v>
      </c>
      <c r="O98" s="14">
        <v>120000</v>
      </c>
      <c r="P98" s="11" t="s">
        <v>30</v>
      </c>
    </row>
    <row r="99" spans="1:16" x14ac:dyDescent="0.35">
      <c r="A99" s="11" t="s">
        <v>289</v>
      </c>
      <c r="B99" s="17">
        <v>45866</v>
      </c>
      <c r="C99" s="11" t="s">
        <v>193</v>
      </c>
      <c r="D99" s="11" t="s">
        <v>194</v>
      </c>
      <c r="E99" s="11" t="s">
        <v>12</v>
      </c>
      <c r="F99" s="11" t="s">
        <v>14</v>
      </c>
      <c r="G99" s="11" t="s">
        <v>70</v>
      </c>
      <c r="H99" s="11" t="s">
        <v>71</v>
      </c>
      <c r="I99" s="11" t="s">
        <v>81</v>
      </c>
      <c r="J99" s="11" t="s">
        <v>73</v>
      </c>
      <c r="K99" s="11" t="s">
        <v>82</v>
      </c>
      <c r="L99" s="11">
        <v>6</v>
      </c>
      <c r="M99" s="14">
        <v>340000</v>
      </c>
      <c r="N99" s="15">
        <v>0</v>
      </c>
      <c r="O99" s="14">
        <v>220000</v>
      </c>
      <c r="P99" s="11" t="s">
        <v>30</v>
      </c>
    </row>
    <row r="100" spans="1:16" x14ac:dyDescent="0.35">
      <c r="A100" s="11" t="s">
        <v>290</v>
      </c>
      <c r="B100" s="17">
        <v>45867</v>
      </c>
      <c r="C100" s="11" t="s">
        <v>95</v>
      </c>
      <c r="D100" s="11" t="s">
        <v>10</v>
      </c>
      <c r="E100" s="11" t="s">
        <v>12</v>
      </c>
      <c r="F100" s="11" t="s">
        <v>41</v>
      </c>
      <c r="G100" s="11" t="s">
        <v>42</v>
      </c>
      <c r="H100" s="11" t="s">
        <v>54</v>
      </c>
      <c r="I100" s="11" t="s">
        <v>55</v>
      </c>
      <c r="J100" s="11" t="s">
        <v>22</v>
      </c>
      <c r="K100" s="11" t="s">
        <v>57</v>
      </c>
      <c r="L100" s="11">
        <v>2</v>
      </c>
      <c r="M100" s="14">
        <v>850000</v>
      </c>
      <c r="N100" s="15">
        <v>0.15</v>
      </c>
      <c r="O100" s="14">
        <v>520000</v>
      </c>
      <c r="P100" s="11" t="s">
        <v>30</v>
      </c>
    </row>
    <row r="101" spans="1:16" x14ac:dyDescent="0.35">
      <c r="A101" s="11" t="s">
        <v>291</v>
      </c>
      <c r="B101" s="17">
        <v>45871</v>
      </c>
      <c r="C101" s="11" t="s">
        <v>292</v>
      </c>
      <c r="D101" s="11" t="s">
        <v>293</v>
      </c>
      <c r="E101" s="11" t="s">
        <v>40</v>
      </c>
      <c r="F101" s="11" t="s">
        <v>14</v>
      </c>
      <c r="G101" s="11" t="s">
        <v>70</v>
      </c>
      <c r="H101" s="11" t="s">
        <v>65</v>
      </c>
      <c r="I101" s="11" t="s">
        <v>201</v>
      </c>
      <c r="J101" s="11" t="s">
        <v>73</v>
      </c>
      <c r="K101" s="11" t="s">
        <v>24</v>
      </c>
      <c r="L101" s="11">
        <v>4</v>
      </c>
      <c r="M101" s="14">
        <v>931000</v>
      </c>
      <c r="N101" s="15">
        <v>0.05</v>
      </c>
      <c r="O101" s="14">
        <v>600000</v>
      </c>
      <c r="P101" s="11" t="s">
        <v>30</v>
      </c>
    </row>
    <row r="102" spans="1:16" x14ac:dyDescent="0.35">
      <c r="A102" s="11" t="s">
        <v>294</v>
      </c>
      <c r="B102" s="17">
        <v>45873</v>
      </c>
      <c r="C102" s="11" t="s">
        <v>118</v>
      </c>
      <c r="D102" s="11" t="s">
        <v>119</v>
      </c>
      <c r="E102" s="11" t="s">
        <v>40</v>
      </c>
      <c r="F102" s="11" t="s">
        <v>14</v>
      </c>
      <c r="G102" s="11" t="s">
        <v>16</v>
      </c>
      <c r="H102" s="11" t="s">
        <v>54</v>
      </c>
      <c r="I102" s="11" t="s">
        <v>136</v>
      </c>
      <c r="J102" s="11" t="s">
        <v>22</v>
      </c>
      <c r="K102" s="11" t="s">
        <v>57</v>
      </c>
      <c r="L102" s="11">
        <v>1</v>
      </c>
      <c r="M102" s="14">
        <v>1140000</v>
      </c>
      <c r="N102" s="15">
        <v>0</v>
      </c>
      <c r="O102" s="14">
        <v>720000</v>
      </c>
      <c r="P102" s="11" t="s">
        <v>30</v>
      </c>
    </row>
    <row r="103" spans="1:16" x14ac:dyDescent="0.35">
      <c r="A103" s="11" t="s">
        <v>295</v>
      </c>
      <c r="B103" s="17">
        <v>45874</v>
      </c>
      <c r="C103" s="11" t="s">
        <v>196</v>
      </c>
      <c r="D103" s="11" t="s">
        <v>197</v>
      </c>
      <c r="E103" s="11" t="s">
        <v>40</v>
      </c>
      <c r="F103" s="11" t="s">
        <v>41</v>
      </c>
      <c r="G103" s="11" t="s">
        <v>42</v>
      </c>
      <c r="H103" s="11" t="s">
        <v>71</v>
      </c>
      <c r="I103" s="11" t="s">
        <v>81</v>
      </c>
      <c r="J103" s="11" t="s">
        <v>56</v>
      </c>
      <c r="K103" s="11" t="s">
        <v>57</v>
      </c>
      <c r="L103" s="11">
        <v>1</v>
      </c>
      <c r="M103" s="14">
        <v>357000</v>
      </c>
      <c r="N103" s="15">
        <v>0</v>
      </c>
      <c r="O103" s="14">
        <v>220000</v>
      </c>
      <c r="P103" s="11" t="s">
        <v>30</v>
      </c>
    </row>
    <row r="104" spans="1:16" x14ac:dyDescent="0.35">
      <c r="A104" s="11" t="s">
        <v>296</v>
      </c>
      <c r="B104" s="17">
        <v>45875</v>
      </c>
      <c r="C104" s="11" t="s">
        <v>149</v>
      </c>
      <c r="D104" s="11" t="s">
        <v>150</v>
      </c>
      <c r="E104" s="11" t="s">
        <v>40</v>
      </c>
      <c r="F104" s="11" t="s">
        <v>41</v>
      </c>
      <c r="G104" s="11" t="s">
        <v>80</v>
      </c>
      <c r="H104" s="11" t="s">
        <v>54</v>
      </c>
      <c r="I104" s="11" t="s">
        <v>55</v>
      </c>
      <c r="J104" s="11" t="s">
        <v>56</v>
      </c>
      <c r="K104" s="11" t="s">
        <v>57</v>
      </c>
      <c r="L104" s="11">
        <v>3</v>
      </c>
      <c r="M104" s="14">
        <v>850000</v>
      </c>
      <c r="N104" s="15">
        <v>0.1</v>
      </c>
      <c r="O104" s="14">
        <v>520000</v>
      </c>
      <c r="P104" s="11" t="s">
        <v>30</v>
      </c>
    </row>
    <row r="105" spans="1:16" x14ac:dyDescent="0.35">
      <c r="A105" s="11" t="s">
        <v>297</v>
      </c>
      <c r="B105" s="17">
        <v>45875</v>
      </c>
      <c r="C105" s="11" t="s">
        <v>175</v>
      </c>
      <c r="D105" s="11" t="s">
        <v>176</v>
      </c>
      <c r="E105" s="11" t="s">
        <v>12</v>
      </c>
      <c r="F105" s="11" t="s">
        <v>41</v>
      </c>
      <c r="G105" s="11" t="s">
        <v>80</v>
      </c>
      <c r="H105" s="11" t="s">
        <v>43</v>
      </c>
      <c r="I105" s="11" t="s">
        <v>127</v>
      </c>
      <c r="J105" s="11" t="s">
        <v>73</v>
      </c>
      <c r="K105" s="11" t="s">
        <v>24</v>
      </c>
      <c r="L105" s="11">
        <v>3</v>
      </c>
      <c r="M105" s="14">
        <v>320000</v>
      </c>
      <c r="N105" s="15">
        <v>0.1</v>
      </c>
      <c r="O105" s="14">
        <v>150000</v>
      </c>
      <c r="P105" s="11" t="s">
        <v>98</v>
      </c>
    </row>
    <row r="106" spans="1:16" x14ac:dyDescent="0.35">
      <c r="A106" s="11" t="s">
        <v>298</v>
      </c>
      <c r="B106" s="17">
        <v>45876</v>
      </c>
      <c r="C106" s="11" t="s">
        <v>103</v>
      </c>
      <c r="D106" s="11" t="s">
        <v>104</v>
      </c>
      <c r="E106" s="11" t="s">
        <v>40</v>
      </c>
      <c r="F106" s="11" t="s">
        <v>14</v>
      </c>
      <c r="G106" s="11" t="s">
        <v>105</v>
      </c>
      <c r="H106" s="11" t="s">
        <v>18</v>
      </c>
      <c r="I106" s="11" t="s">
        <v>93</v>
      </c>
      <c r="J106" s="11" t="s">
        <v>56</v>
      </c>
      <c r="K106" s="11" t="s">
        <v>57</v>
      </c>
      <c r="L106" s="11">
        <v>2</v>
      </c>
      <c r="M106" s="14">
        <v>1500000</v>
      </c>
      <c r="N106" s="15">
        <v>0</v>
      </c>
      <c r="O106" s="14">
        <v>800000</v>
      </c>
      <c r="P106" s="18" t="s">
        <v>275</v>
      </c>
    </row>
    <row r="107" spans="1:16" x14ac:dyDescent="0.35">
      <c r="A107" s="11" t="s">
        <v>299</v>
      </c>
      <c r="B107" s="17">
        <v>45885</v>
      </c>
      <c r="C107" s="11" t="s">
        <v>188</v>
      </c>
      <c r="D107" s="11" t="s">
        <v>189</v>
      </c>
      <c r="E107" s="11" t="s">
        <v>40</v>
      </c>
      <c r="F107" s="11" t="s">
        <v>14</v>
      </c>
      <c r="G107" s="11" t="s">
        <v>16</v>
      </c>
      <c r="H107" s="11" t="s">
        <v>54</v>
      </c>
      <c r="I107" s="11" t="s">
        <v>131</v>
      </c>
      <c r="J107" s="11" t="s">
        <v>56</v>
      </c>
      <c r="K107" s="11" t="s">
        <v>57</v>
      </c>
      <c r="L107" s="11">
        <v>1</v>
      </c>
      <c r="M107" s="14">
        <v>690000</v>
      </c>
      <c r="N107" s="15">
        <v>0</v>
      </c>
      <c r="O107" s="14">
        <v>410000</v>
      </c>
      <c r="P107" s="11" t="s">
        <v>30</v>
      </c>
    </row>
    <row r="108" spans="1:16" x14ac:dyDescent="0.35">
      <c r="A108" s="11" t="s">
        <v>300</v>
      </c>
      <c r="B108" s="17">
        <v>45888</v>
      </c>
      <c r="C108" s="11" t="s">
        <v>113</v>
      </c>
      <c r="D108" s="11" t="s">
        <v>114</v>
      </c>
      <c r="E108" s="11" t="s">
        <v>40</v>
      </c>
      <c r="F108" s="11" t="s">
        <v>14</v>
      </c>
      <c r="G108" s="11" t="s">
        <v>70</v>
      </c>
      <c r="H108" s="11" t="s">
        <v>71</v>
      </c>
      <c r="I108" s="11" t="s">
        <v>87</v>
      </c>
      <c r="J108" s="11" t="s">
        <v>73</v>
      </c>
      <c r="K108" s="11" t="s">
        <v>88</v>
      </c>
      <c r="L108" s="11">
        <v>2</v>
      </c>
      <c r="M108" s="14">
        <v>380000</v>
      </c>
      <c r="N108" s="15">
        <v>0.05</v>
      </c>
      <c r="O108" s="14">
        <v>250000</v>
      </c>
      <c r="P108" s="11" t="s">
        <v>30</v>
      </c>
    </row>
    <row r="109" spans="1:16" x14ac:dyDescent="0.35">
      <c r="A109" s="11" t="s">
        <v>301</v>
      </c>
      <c r="B109" s="17">
        <v>45888</v>
      </c>
      <c r="C109" s="11" t="s">
        <v>164</v>
      </c>
      <c r="D109" s="11" t="s">
        <v>165</v>
      </c>
      <c r="E109" s="11" t="s">
        <v>12</v>
      </c>
      <c r="F109" s="11" t="s">
        <v>14</v>
      </c>
      <c r="G109" s="11" t="s">
        <v>16</v>
      </c>
      <c r="H109" s="11" t="s">
        <v>18</v>
      </c>
      <c r="I109" s="11" t="s">
        <v>96</v>
      </c>
      <c r="J109" s="11" t="s">
        <v>73</v>
      </c>
      <c r="K109" s="11" t="s">
        <v>106</v>
      </c>
      <c r="L109" s="11">
        <v>2</v>
      </c>
      <c r="M109" s="14">
        <v>750000</v>
      </c>
      <c r="N109" s="15">
        <v>0.1</v>
      </c>
      <c r="O109" s="14">
        <v>390000</v>
      </c>
      <c r="P109" s="11" t="s">
        <v>30</v>
      </c>
    </row>
    <row r="110" spans="1:16" x14ac:dyDescent="0.35">
      <c r="A110" s="11" t="s">
        <v>302</v>
      </c>
      <c r="B110" s="17">
        <v>45889</v>
      </c>
      <c r="C110" s="11" t="s">
        <v>226</v>
      </c>
      <c r="D110" s="11" t="s">
        <v>227</v>
      </c>
      <c r="E110" s="11" t="s">
        <v>40</v>
      </c>
      <c r="F110" s="11" t="s">
        <v>41</v>
      </c>
      <c r="G110" s="11" t="s">
        <v>42</v>
      </c>
      <c r="H110" s="11" t="s">
        <v>43</v>
      </c>
      <c r="I110" s="11" t="s">
        <v>48</v>
      </c>
      <c r="J110" s="11" t="s">
        <v>73</v>
      </c>
      <c r="K110" s="11" t="s">
        <v>82</v>
      </c>
      <c r="L110" s="11">
        <v>1</v>
      </c>
      <c r="M110" s="14">
        <v>290000</v>
      </c>
      <c r="N110" s="21">
        <v>5</v>
      </c>
      <c r="O110" s="14">
        <v>120000</v>
      </c>
      <c r="P110" s="11" t="s">
        <v>30</v>
      </c>
    </row>
    <row r="111" spans="1:16" x14ac:dyDescent="0.35">
      <c r="A111" s="11" t="s">
        <v>303</v>
      </c>
      <c r="B111" s="17">
        <v>45890</v>
      </c>
      <c r="C111" s="11" t="s">
        <v>232</v>
      </c>
      <c r="D111" s="11" t="s">
        <v>233</v>
      </c>
      <c r="E111" s="11" t="s">
        <v>40</v>
      </c>
      <c r="F111" s="11" t="s">
        <v>41</v>
      </c>
      <c r="G111" s="11" t="s">
        <v>42</v>
      </c>
      <c r="H111" s="11" t="s">
        <v>43</v>
      </c>
      <c r="I111" s="11" t="s">
        <v>127</v>
      </c>
      <c r="J111" s="11" t="s">
        <v>73</v>
      </c>
      <c r="K111" s="11" t="s">
        <v>57</v>
      </c>
      <c r="L111" s="11">
        <v>2</v>
      </c>
      <c r="M111" s="14">
        <v>320000</v>
      </c>
      <c r="N111" s="15">
        <v>0.15</v>
      </c>
      <c r="O111" s="14">
        <v>150000</v>
      </c>
      <c r="P111" s="11" t="s">
        <v>30</v>
      </c>
    </row>
    <row r="112" spans="1:16" x14ac:dyDescent="0.35">
      <c r="A112" s="11" t="s">
        <v>304</v>
      </c>
      <c r="B112" s="17">
        <v>45890</v>
      </c>
      <c r="C112" s="11" t="s">
        <v>305</v>
      </c>
      <c r="D112" s="11" t="s">
        <v>306</v>
      </c>
      <c r="E112" s="11" t="s">
        <v>12</v>
      </c>
      <c r="F112" s="11" t="s">
        <v>41</v>
      </c>
      <c r="G112" s="11" t="s">
        <v>80</v>
      </c>
      <c r="H112" s="11" t="s">
        <v>54</v>
      </c>
      <c r="I112" s="11" t="s">
        <v>136</v>
      </c>
      <c r="J112" s="11" t="s">
        <v>97</v>
      </c>
      <c r="K112" s="11" t="s">
        <v>106</v>
      </c>
      <c r="L112" s="11">
        <v>2</v>
      </c>
      <c r="M112" s="14">
        <v>1140000</v>
      </c>
      <c r="N112" s="15">
        <v>0.05</v>
      </c>
      <c r="O112" s="14">
        <v>720000</v>
      </c>
      <c r="P112" s="11" t="s">
        <v>30</v>
      </c>
    </row>
    <row r="113" spans="1:16" x14ac:dyDescent="0.35">
      <c r="A113" s="11" t="s">
        <v>307</v>
      </c>
      <c r="B113" s="17">
        <v>45893</v>
      </c>
      <c r="C113" s="11" t="s">
        <v>292</v>
      </c>
      <c r="D113" s="11" t="s">
        <v>293</v>
      </c>
      <c r="E113" s="11" t="s">
        <v>40</v>
      </c>
      <c r="F113" s="11" t="s">
        <v>14</v>
      </c>
      <c r="G113" s="11" t="s">
        <v>70</v>
      </c>
      <c r="H113" s="11" t="s">
        <v>65</v>
      </c>
      <c r="I113" s="11" t="s">
        <v>201</v>
      </c>
      <c r="J113" s="11" t="s">
        <v>56</v>
      </c>
      <c r="K113" s="11" t="s">
        <v>106</v>
      </c>
      <c r="L113" s="11">
        <v>1</v>
      </c>
      <c r="M113" s="14">
        <v>931000</v>
      </c>
      <c r="N113" s="15">
        <v>0</v>
      </c>
      <c r="O113" s="14">
        <v>600000</v>
      </c>
      <c r="P113" s="11" t="s">
        <v>30</v>
      </c>
    </row>
    <row r="114" spans="1:16" x14ac:dyDescent="0.35">
      <c r="A114" s="11" t="s">
        <v>308</v>
      </c>
      <c r="B114" s="17">
        <v>45897</v>
      </c>
      <c r="C114" s="11" t="s">
        <v>309</v>
      </c>
      <c r="D114" s="11" t="s">
        <v>310</v>
      </c>
      <c r="E114" s="11" t="s">
        <v>40</v>
      </c>
      <c r="F114" s="11" t="s">
        <v>41</v>
      </c>
      <c r="G114" s="11" t="s">
        <v>173</v>
      </c>
      <c r="H114" s="11" t="s">
        <v>71</v>
      </c>
      <c r="I114" s="11" t="s">
        <v>87</v>
      </c>
      <c r="J114" s="11" t="s">
        <v>56</v>
      </c>
      <c r="K114" s="11" t="s">
        <v>24</v>
      </c>
      <c r="L114" s="11">
        <v>1</v>
      </c>
      <c r="M114" s="14">
        <v>380000</v>
      </c>
      <c r="N114" s="15">
        <v>0.05</v>
      </c>
      <c r="O114" s="14">
        <v>250000</v>
      </c>
      <c r="P114" s="11" t="s">
        <v>30</v>
      </c>
    </row>
    <row r="115" spans="1:16" x14ac:dyDescent="0.35">
      <c r="A115" s="11" t="s">
        <v>311</v>
      </c>
      <c r="B115" s="17">
        <v>45898</v>
      </c>
      <c r="C115" s="11" t="s">
        <v>312</v>
      </c>
      <c r="D115" s="11" t="s">
        <v>313</v>
      </c>
      <c r="E115" s="11" t="s">
        <v>12</v>
      </c>
      <c r="F115" s="11" t="s">
        <v>14</v>
      </c>
      <c r="G115" s="11" t="s">
        <v>135</v>
      </c>
      <c r="H115" s="11" t="s">
        <v>54</v>
      </c>
      <c r="I115" s="11" t="s">
        <v>55</v>
      </c>
      <c r="J115" s="11" t="s">
        <v>22</v>
      </c>
      <c r="K115" s="11" t="s">
        <v>24</v>
      </c>
      <c r="L115" s="11">
        <v>2</v>
      </c>
      <c r="M115" s="14">
        <v>892000</v>
      </c>
      <c r="N115" s="15">
        <v>0</v>
      </c>
      <c r="O115" s="14">
        <v>520000</v>
      </c>
      <c r="P115" s="11" t="s">
        <v>30</v>
      </c>
    </row>
    <row r="116" spans="1:16" x14ac:dyDescent="0.35">
      <c r="A116" s="11" t="s">
        <v>314</v>
      </c>
      <c r="B116" s="17">
        <v>45899</v>
      </c>
      <c r="C116" s="11" t="s">
        <v>196</v>
      </c>
      <c r="D116" s="11" t="s">
        <v>197</v>
      </c>
      <c r="E116" s="11" t="s">
        <v>40</v>
      </c>
      <c r="F116" s="11" t="s">
        <v>41</v>
      </c>
      <c r="G116" s="11" t="s">
        <v>42</v>
      </c>
      <c r="H116" s="11" t="s">
        <v>54</v>
      </c>
      <c r="I116" s="11" t="s">
        <v>131</v>
      </c>
      <c r="J116" s="11" t="s">
        <v>22</v>
      </c>
      <c r="K116" s="11" t="s">
        <v>24</v>
      </c>
      <c r="L116" s="11">
        <v>1</v>
      </c>
      <c r="M116" s="14">
        <v>724000</v>
      </c>
      <c r="N116" s="15">
        <v>0.2</v>
      </c>
      <c r="O116" s="14">
        <v>410000</v>
      </c>
      <c r="P116" s="11" t="s">
        <v>30</v>
      </c>
    </row>
    <row r="117" spans="1:16" x14ac:dyDescent="0.35">
      <c r="A117" s="11" t="s">
        <v>315</v>
      </c>
      <c r="B117" s="17">
        <v>45900</v>
      </c>
      <c r="C117" s="11" t="s">
        <v>203</v>
      </c>
      <c r="D117" s="11" t="s">
        <v>204</v>
      </c>
      <c r="E117" s="11" t="s">
        <v>40</v>
      </c>
      <c r="F117" s="11" t="s">
        <v>41</v>
      </c>
      <c r="G117" s="11" t="s">
        <v>80</v>
      </c>
      <c r="H117" s="11" t="s">
        <v>71</v>
      </c>
      <c r="I117" s="11" t="s">
        <v>72</v>
      </c>
      <c r="J117" s="11" t="s">
        <v>56</v>
      </c>
      <c r="K117" s="11" t="s">
        <v>49</v>
      </c>
      <c r="L117" s="11">
        <v>1</v>
      </c>
      <c r="M117" s="14">
        <v>210000</v>
      </c>
      <c r="N117" s="15">
        <v>0.15</v>
      </c>
      <c r="O117" s="14">
        <v>120000</v>
      </c>
      <c r="P117" s="11" t="s">
        <v>30</v>
      </c>
    </row>
    <row r="118" spans="1:16" x14ac:dyDescent="0.35">
      <c r="A118" s="11" t="s">
        <v>316</v>
      </c>
      <c r="B118" s="17">
        <v>45904</v>
      </c>
      <c r="C118" s="11" t="s">
        <v>317</v>
      </c>
      <c r="D118" s="11" t="s">
        <v>318</v>
      </c>
      <c r="E118" s="11" t="s">
        <v>40</v>
      </c>
      <c r="F118" s="11" t="s">
        <v>41</v>
      </c>
      <c r="G118" s="11" t="s">
        <v>80</v>
      </c>
      <c r="H118" s="11" t="s">
        <v>43</v>
      </c>
      <c r="I118" s="11" t="s">
        <v>127</v>
      </c>
      <c r="J118" s="11" t="s">
        <v>56</v>
      </c>
      <c r="K118" s="11" t="s">
        <v>76</v>
      </c>
      <c r="L118" s="11">
        <v>1</v>
      </c>
      <c r="M118" s="14">
        <v>320000</v>
      </c>
      <c r="N118" s="15">
        <v>0.1</v>
      </c>
      <c r="O118" s="14">
        <v>150000</v>
      </c>
      <c r="P118" s="18" t="s">
        <v>319</v>
      </c>
    </row>
    <row r="119" spans="1:16" x14ac:dyDescent="0.35">
      <c r="A119" s="11" t="s">
        <v>320</v>
      </c>
      <c r="B119" s="17">
        <v>45904</v>
      </c>
      <c r="C119" s="11" t="s">
        <v>84</v>
      </c>
      <c r="D119" s="11" t="s">
        <v>85</v>
      </c>
      <c r="E119" s="11" t="s">
        <v>40</v>
      </c>
      <c r="F119" s="11" t="s">
        <v>41</v>
      </c>
      <c r="G119" s="11" t="s">
        <v>86</v>
      </c>
      <c r="H119" s="11" t="s">
        <v>43</v>
      </c>
      <c r="I119" s="18" t="s">
        <v>321</v>
      </c>
      <c r="J119" s="11" t="s">
        <v>56</v>
      </c>
      <c r="K119" s="11" t="s">
        <v>24</v>
      </c>
      <c r="L119" s="11">
        <v>2</v>
      </c>
      <c r="M119" s="14">
        <v>320000</v>
      </c>
      <c r="N119" s="15">
        <v>0.15</v>
      </c>
      <c r="O119" s="14">
        <v>150000</v>
      </c>
      <c r="P119" s="11" t="s">
        <v>30</v>
      </c>
    </row>
    <row r="120" spans="1:16" x14ac:dyDescent="0.35">
      <c r="A120" s="11" t="s">
        <v>322</v>
      </c>
      <c r="B120" s="17">
        <v>45908</v>
      </c>
      <c r="C120" s="11" t="s">
        <v>323</v>
      </c>
      <c r="D120" s="11" t="s">
        <v>324</v>
      </c>
      <c r="E120" s="11" t="s">
        <v>40</v>
      </c>
      <c r="F120" s="11" t="s">
        <v>41</v>
      </c>
      <c r="G120" s="11" t="s">
        <v>80</v>
      </c>
      <c r="H120" s="11" t="s">
        <v>65</v>
      </c>
      <c r="I120" s="11" t="s">
        <v>201</v>
      </c>
      <c r="J120" s="11" t="s">
        <v>22</v>
      </c>
      <c r="K120" s="11" t="s">
        <v>159</v>
      </c>
      <c r="L120" s="11">
        <v>1</v>
      </c>
      <c r="M120" s="14">
        <v>1029000</v>
      </c>
      <c r="N120" s="21">
        <v>15</v>
      </c>
      <c r="O120" s="14">
        <v>600000</v>
      </c>
      <c r="P120" s="11" t="s">
        <v>30</v>
      </c>
    </row>
    <row r="121" spans="1:16" x14ac:dyDescent="0.35">
      <c r="A121" s="11" t="s">
        <v>325</v>
      </c>
      <c r="B121" s="17">
        <v>45910</v>
      </c>
      <c r="C121" s="11" t="s">
        <v>222</v>
      </c>
      <c r="D121" s="11" t="s">
        <v>223</v>
      </c>
      <c r="E121" s="11" t="s">
        <v>40</v>
      </c>
      <c r="F121" s="11" t="s">
        <v>14</v>
      </c>
      <c r="G121" s="11" t="s">
        <v>70</v>
      </c>
      <c r="H121" s="11" t="s">
        <v>18</v>
      </c>
      <c r="I121" s="11" t="s">
        <v>120</v>
      </c>
      <c r="J121" s="11" t="s">
        <v>56</v>
      </c>
      <c r="K121" s="11" t="s">
        <v>49</v>
      </c>
      <c r="L121" s="11">
        <v>2</v>
      </c>
      <c r="M121" s="14">
        <v>280000</v>
      </c>
      <c r="N121" s="15">
        <v>0</v>
      </c>
      <c r="O121" s="14">
        <v>130000</v>
      </c>
      <c r="P121" s="11" t="s">
        <v>30</v>
      </c>
    </row>
    <row r="122" spans="1:16" x14ac:dyDescent="0.35">
      <c r="A122" s="11" t="s">
        <v>326</v>
      </c>
      <c r="B122" s="17">
        <v>45911</v>
      </c>
      <c r="C122" s="11" t="s">
        <v>327</v>
      </c>
      <c r="D122" s="11" t="s">
        <v>328</v>
      </c>
      <c r="E122" s="11" t="s">
        <v>12</v>
      </c>
      <c r="F122" s="11" t="s">
        <v>41</v>
      </c>
      <c r="G122" s="11" t="s">
        <v>42</v>
      </c>
      <c r="H122" s="11" t="s">
        <v>18</v>
      </c>
      <c r="I122" s="11" t="s">
        <v>20</v>
      </c>
      <c r="J122" s="11" t="s">
        <v>22</v>
      </c>
      <c r="K122" s="11" t="s">
        <v>76</v>
      </c>
      <c r="L122" s="11">
        <v>6</v>
      </c>
      <c r="M122" s="14">
        <v>1200000</v>
      </c>
      <c r="N122" s="15">
        <v>0.2</v>
      </c>
      <c r="O122" s="14">
        <v>620000</v>
      </c>
      <c r="P122" s="11" t="s">
        <v>30</v>
      </c>
    </row>
    <row r="123" spans="1:16" x14ac:dyDescent="0.35">
      <c r="A123" s="11" t="s">
        <v>329</v>
      </c>
      <c r="B123" s="17">
        <v>45911</v>
      </c>
      <c r="C123" s="11" t="s">
        <v>193</v>
      </c>
      <c r="D123" s="11" t="s">
        <v>194</v>
      </c>
      <c r="E123" s="11" t="s">
        <v>12</v>
      </c>
      <c r="F123" s="11" t="s">
        <v>14</v>
      </c>
      <c r="G123" s="11" t="s">
        <v>70</v>
      </c>
      <c r="H123" s="11" t="s">
        <v>18</v>
      </c>
      <c r="I123" s="11" t="s">
        <v>20</v>
      </c>
      <c r="J123" s="11" t="s">
        <v>73</v>
      </c>
      <c r="K123" s="11" t="s">
        <v>88</v>
      </c>
      <c r="L123" s="11">
        <v>6</v>
      </c>
      <c r="M123" s="14">
        <v>1200000</v>
      </c>
      <c r="N123" s="15">
        <v>0.2</v>
      </c>
      <c r="O123" s="14">
        <v>620000</v>
      </c>
      <c r="P123" s="11" t="s">
        <v>30</v>
      </c>
    </row>
    <row r="124" spans="1:16" x14ac:dyDescent="0.35">
      <c r="A124" s="11" t="s">
        <v>330</v>
      </c>
      <c r="B124" s="17">
        <v>45913</v>
      </c>
      <c r="C124" s="11" t="s">
        <v>281</v>
      </c>
      <c r="D124" s="11" t="s">
        <v>282</v>
      </c>
      <c r="E124" s="11" t="s">
        <v>12</v>
      </c>
      <c r="F124" s="11" t="s">
        <v>63</v>
      </c>
      <c r="G124" s="11" t="s">
        <v>64</v>
      </c>
      <c r="H124" s="11" t="s">
        <v>18</v>
      </c>
      <c r="I124" s="11" t="s">
        <v>96</v>
      </c>
      <c r="J124" s="11" t="s">
        <v>97</v>
      </c>
      <c r="K124" s="11" t="s">
        <v>49</v>
      </c>
      <c r="L124" s="11">
        <v>10</v>
      </c>
      <c r="M124" s="14">
        <v>750000</v>
      </c>
      <c r="N124" s="15">
        <v>0.1</v>
      </c>
      <c r="O124" s="14">
        <v>390000</v>
      </c>
      <c r="P124" s="11" t="s">
        <v>30</v>
      </c>
    </row>
    <row r="125" spans="1:16" x14ac:dyDescent="0.35">
      <c r="A125" s="11" t="s">
        <v>331</v>
      </c>
      <c r="B125" s="17">
        <v>45915</v>
      </c>
      <c r="C125" s="11" t="s">
        <v>178</v>
      </c>
      <c r="D125" s="11" t="s">
        <v>179</v>
      </c>
      <c r="E125" s="11" t="s">
        <v>40</v>
      </c>
      <c r="F125" s="11" t="s">
        <v>41</v>
      </c>
      <c r="G125" s="11" t="s">
        <v>80</v>
      </c>
      <c r="H125" s="11" t="s">
        <v>18</v>
      </c>
      <c r="I125" s="11" t="s">
        <v>20</v>
      </c>
      <c r="J125" s="11" t="s">
        <v>73</v>
      </c>
      <c r="K125" s="11" t="s">
        <v>159</v>
      </c>
      <c r="L125" s="11">
        <v>3</v>
      </c>
      <c r="M125" s="14">
        <v>1200000</v>
      </c>
      <c r="N125" s="15">
        <v>0</v>
      </c>
      <c r="O125" s="14">
        <v>620000</v>
      </c>
      <c r="P125" s="11" t="s">
        <v>30</v>
      </c>
    </row>
    <row r="126" spans="1:16" x14ac:dyDescent="0.35">
      <c r="A126" s="11" t="s">
        <v>332</v>
      </c>
      <c r="B126" s="17">
        <v>45916</v>
      </c>
      <c r="C126" s="11" t="s">
        <v>196</v>
      </c>
      <c r="D126" s="11" t="s">
        <v>197</v>
      </c>
      <c r="E126" s="11" t="s">
        <v>40</v>
      </c>
      <c r="F126" s="11" t="s">
        <v>41</v>
      </c>
      <c r="G126" s="11" t="s">
        <v>42</v>
      </c>
      <c r="H126" s="11" t="s">
        <v>54</v>
      </c>
      <c r="I126" s="18" t="s">
        <v>333</v>
      </c>
      <c r="J126" s="11" t="s">
        <v>22</v>
      </c>
      <c r="K126" s="11" t="s">
        <v>82</v>
      </c>
      <c r="L126" s="11">
        <v>1</v>
      </c>
      <c r="M126" s="14">
        <v>850000</v>
      </c>
      <c r="N126" s="15">
        <v>0.1</v>
      </c>
      <c r="O126" s="14">
        <v>520000</v>
      </c>
      <c r="P126" s="11" t="s">
        <v>30</v>
      </c>
    </row>
    <row r="127" spans="1:16" x14ac:dyDescent="0.35">
      <c r="A127" s="11" t="s">
        <v>334</v>
      </c>
      <c r="B127" s="17">
        <v>45918</v>
      </c>
      <c r="C127" s="11" t="s">
        <v>171</v>
      </c>
      <c r="D127" s="11" t="s">
        <v>172</v>
      </c>
      <c r="E127" s="11" t="s">
        <v>12</v>
      </c>
      <c r="F127" s="11" t="s">
        <v>41</v>
      </c>
      <c r="G127" s="11" t="s">
        <v>173</v>
      </c>
      <c r="H127" s="11" t="s">
        <v>65</v>
      </c>
      <c r="I127" s="11" t="s">
        <v>262</v>
      </c>
      <c r="J127" s="11" t="s">
        <v>97</v>
      </c>
      <c r="K127" s="11" t="s">
        <v>76</v>
      </c>
      <c r="L127" s="11">
        <v>5</v>
      </c>
      <c r="M127" s="14">
        <v>2400000</v>
      </c>
      <c r="N127" s="15">
        <v>0.1</v>
      </c>
      <c r="O127" s="14">
        <v>1550000</v>
      </c>
      <c r="P127" s="11" t="s">
        <v>30</v>
      </c>
    </row>
    <row r="128" spans="1:16" x14ac:dyDescent="0.35">
      <c r="A128" s="11" t="s">
        <v>335</v>
      </c>
      <c r="B128" s="17">
        <v>45918</v>
      </c>
      <c r="C128" s="11" t="s">
        <v>317</v>
      </c>
      <c r="D128" s="11" t="s">
        <v>318</v>
      </c>
      <c r="E128" s="11" t="s">
        <v>40</v>
      </c>
      <c r="F128" s="11" t="s">
        <v>41</v>
      </c>
      <c r="G128" s="11" t="s">
        <v>80</v>
      </c>
      <c r="H128" s="11" t="s">
        <v>54</v>
      </c>
      <c r="I128" s="11" t="s">
        <v>220</v>
      </c>
      <c r="J128" s="11" t="s">
        <v>22</v>
      </c>
      <c r="K128" s="11" t="s">
        <v>76</v>
      </c>
      <c r="L128" s="11">
        <v>2</v>
      </c>
      <c r="M128" s="14">
        <v>428000</v>
      </c>
      <c r="N128" s="15">
        <v>0.05</v>
      </c>
      <c r="O128" s="14">
        <v>260000</v>
      </c>
      <c r="P128" s="11" t="s">
        <v>30</v>
      </c>
    </row>
    <row r="129" spans="1:16" x14ac:dyDescent="0.35">
      <c r="A129" s="11" t="s">
        <v>336</v>
      </c>
      <c r="B129" s="17">
        <v>45921</v>
      </c>
      <c r="C129" s="11" t="s">
        <v>100</v>
      </c>
      <c r="D129" s="11" t="s">
        <v>101</v>
      </c>
      <c r="E129" s="11" t="s">
        <v>40</v>
      </c>
      <c r="F129" s="11" t="s">
        <v>14</v>
      </c>
      <c r="G129" s="11" t="s">
        <v>16</v>
      </c>
      <c r="H129" s="11" t="s">
        <v>65</v>
      </c>
      <c r="I129" s="11" t="s">
        <v>66</v>
      </c>
      <c r="J129" s="11" t="s">
        <v>56</v>
      </c>
      <c r="K129" s="11" t="s">
        <v>106</v>
      </c>
      <c r="L129" s="11">
        <v>1</v>
      </c>
      <c r="M129" s="14">
        <v>494000</v>
      </c>
      <c r="N129" s="15">
        <v>0.05</v>
      </c>
      <c r="O129" s="14">
        <v>310000</v>
      </c>
      <c r="P129" s="11" t="s">
        <v>30</v>
      </c>
    </row>
    <row r="130" spans="1:16" x14ac:dyDescent="0.35">
      <c r="A130" s="11" t="s">
        <v>337</v>
      </c>
      <c r="B130" s="17">
        <v>45921</v>
      </c>
      <c r="C130" s="11" t="s">
        <v>122</v>
      </c>
      <c r="D130" s="11" t="s">
        <v>123</v>
      </c>
      <c r="E130" s="11" t="s">
        <v>40</v>
      </c>
      <c r="F130" s="11" t="s">
        <v>14</v>
      </c>
      <c r="G130" s="11" t="s">
        <v>70</v>
      </c>
      <c r="H130" s="11" t="s">
        <v>65</v>
      </c>
      <c r="I130" s="11" t="s">
        <v>66</v>
      </c>
      <c r="J130" s="11" t="s">
        <v>73</v>
      </c>
      <c r="K130" s="11" t="s">
        <v>76</v>
      </c>
      <c r="L130" s="11">
        <v>1</v>
      </c>
      <c r="M130" s="14">
        <v>546000</v>
      </c>
      <c r="N130" s="15">
        <v>0.05</v>
      </c>
      <c r="O130" s="14">
        <v>310000</v>
      </c>
      <c r="P130" s="11" t="s">
        <v>30</v>
      </c>
    </row>
    <row r="131" spans="1:16" x14ac:dyDescent="0.35">
      <c r="A131" s="11" t="s">
        <v>338</v>
      </c>
      <c r="B131" s="17">
        <v>45925</v>
      </c>
      <c r="C131" s="11" t="s">
        <v>171</v>
      </c>
      <c r="D131" s="11" t="s">
        <v>172</v>
      </c>
      <c r="E131" s="11" t="s">
        <v>12</v>
      </c>
      <c r="F131" s="11" t="s">
        <v>41</v>
      </c>
      <c r="G131" s="11" t="s">
        <v>173</v>
      </c>
      <c r="H131" s="11" t="s">
        <v>18</v>
      </c>
      <c r="I131" s="11" t="s">
        <v>96</v>
      </c>
      <c r="J131" s="11" t="s">
        <v>56</v>
      </c>
      <c r="K131" s="11" t="s">
        <v>88</v>
      </c>
      <c r="L131" s="11">
        <v>2</v>
      </c>
      <c r="M131" s="14">
        <v>712000</v>
      </c>
      <c r="N131" s="15">
        <v>0.1</v>
      </c>
      <c r="O131" s="14">
        <v>390000</v>
      </c>
      <c r="P131" s="11" t="s">
        <v>30</v>
      </c>
    </row>
    <row r="132" spans="1:16" x14ac:dyDescent="0.35">
      <c r="A132" s="11" t="s">
        <v>339</v>
      </c>
      <c r="B132" s="17">
        <v>45927</v>
      </c>
      <c r="C132" s="11" t="s">
        <v>103</v>
      </c>
      <c r="D132" s="11" t="s">
        <v>104</v>
      </c>
      <c r="E132" s="11" t="s">
        <v>40</v>
      </c>
      <c r="F132" s="11" t="s">
        <v>14</v>
      </c>
      <c r="G132" s="11" t="s">
        <v>105</v>
      </c>
      <c r="H132" s="11" t="s">
        <v>43</v>
      </c>
      <c r="I132" s="11" t="s">
        <v>44</v>
      </c>
      <c r="J132" s="11" t="s">
        <v>56</v>
      </c>
      <c r="K132" s="11" t="s">
        <v>49</v>
      </c>
      <c r="L132" s="11">
        <v>1</v>
      </c>
      <c r="M132" s="14">
        <v>532000</v>
      </c>
      <c r="N132" s="15">
        <v>0</v>
      </c>
      <c r="O132" s="14">
        <v>260000</v>
      </c>
      <c r="P132" s="11" t="s">
        <v>30</v>
      </c>
    </row>
    <row r="133" spans="1:16" x14ac:dyDescent="0.35">
      <c r="A133" s="11" t="s">
        <v>340</v>
      </c>
      <c r="B133" s="17">
        <v>45930</v>
      </c>
      <c r="C133" s="11" t="s">
        <v>341</v>
      </c>
      <c r="D133" s="11" t="s">
        <v>342</v>
      </c>
      <c r="E133" s="11" t="s">
        <v>40</v>
      </c>
      <c r="F133" s="11" t="s">
        <v>14</v>
      </c>
      <c r="G133" s="11" t="s">
        <v>16</v>
      </c>
      <c r="H133" s="11" t="s">
        <v>18</v>
      </c>
      <c r="I133" s="11" t="s">
        <v>93</v>
      </c>
      <c r="J133" s="11" t="s">
        <v>73</v>
      </c>
      <c r="K133" s="11" t="s">
        <v>49</v>
      </c>
      <c r="L133" s="11">
        <v>2</v>
      </c>
      <c r="M133" s="14">
        <v>1500000</v>
      </c>
      <c r="N133" s="15">
        <v>0</v>
      </c>
      <c r="O133" s="14">
        <v>800000</v>
      </c>
      <c r="P133" s="11" t="s">
        <v>30</v>
      </c>
    </row>
    <row r="134" spans="1:16" x14ac:dyDescent="0.35">
      <c r="A134" s="11" t="s">
        <v>343</v>
      </c>
      <c r="B134" s="17">
        <v>45931</v>
      </c>
      <c r="C134" s="11" t="s">
        <v>52</v>
      </c>
      <c r="D134" s="11" t="s">
        <v>53</v>
      </c>
      <c r="E134" s="11" t="s">
        <v>40</v>
      </c>
      <c r="F134" s="11" t="s">
        <v>41</v>
      </c>
      <c r="G134" s="11" t="s">
        <v>42</v>
      </c>
      <c r="H134" s="11" t="s">
        <v>71</v>
      </c>
      <c r="I134" s="11" t="s">
        <v>87</v>
      </c>
      <c r="J134" s="11" t="s">
        <v>22</v>
      </c>
      <c r="K134" s="11" t="s">
        <v>24</v>
      </c>
      <c r="L134" s="11">
        <v>1</v>
      </c>
      <c r="M134" s="14">
        <v>399000</v>
      </c>
      <c r="N134" s="15">
        <v>0.1</v>
      </c>
      <c r="O134" s="14">
        <v>250000</v>
      </c>
      <c r="P134" s="11" t="s">
        <v>58</v>
      </c>
    </row>
    <row r="135" spans="1:16" x14ac:dyDescent="0.35">
      <c r="A135" s="11" t="s">
        <v>344</v>
      </c>
      <c r="B135" s="17">
        <v>45931</v>
      </c>
      <c r="C135" s="11" t="s">
        <v>210</v>
      </c>
      <c r="D135" s="11" t="s">
        <v>211</v>
      </c>
      <c r="E135" s="11" t="s">
        <v>40</v>
      </c>
      <c r="F135" s="11" t="s">
        <v>14</v>
      </c>
      <c r="G135" s="11" t="s">
        <v>105</v>
      </c>
      <c r="H135" s="11" t="s">
        <v>54</v>
      </c>
      <c r="I135" s="11" t="s">
        <v>75</v>
      </c>
      <c r="J135" s="11" t="s">
        <v>22</v>
      </c>
      <c r="K135" s="11" t="s">
        <v>106</v>
      </c>
      <c r="L135" s="11">
        <v>2</v>
      </c>
      <c r="M135" s="14">
        <v>1805000</v>
      </c>
      <c r="N135" s="15">
        <v>0.1</v>
      </c>
      <c r="O135" s="14">
        <v>1200000</v>
      </c>
      <c r="P135" s="11" t="s">
        <v>98</v>
      </c>
    </row>
    <row r="136" spans="1:16" x14ac:dyDescent="0.35">
      <c r="A136" s="11" t="s">
        <v>345</v>
      </c>
      <c r="B136" s="17">
        <v>45932</v>
      </c>
      <c r="C136" s="11" t="s">
        <v>113</v>
      </c>
      <c r="D136" s="11" t="s">
        <v>114</v>
      </c>
      <c r="E136" s="11" t="s">
        <v>40</v>
      </c>
      <c r="F136" s="11" t="s">
        <v>14</v>
      </c>
      <c r="G136" s="11" t="s">
        <v>70</v>
      </c>
      <c r="H136" s="11" t="s">
        <v>54</v>
      </c>
      <c r="I136" s="11" t="s">
        <v>55</v>
      </c>
      <c r="J136" s="11" t="s">
        <v>56</v>
      </c>
      <c r="K136" s="11" t="s">
        <v>57</v>
      </c>
      <c r="L136" s="11">
        <v>1</v>
      </c>
      <c r="M136" s="14">
        <v>808000</v>
      </c>
      <c r="N136" s="21">
        <v>10</v>
      </c>
      <c r="O136" s="14">
        <v>520000</v>
      </c>
      <c r="P136" s="11" t="s">
        <v>30</v>
      </c>
    </row>
    <row r="137" spans="1:16" x14ac:dyDescent="0.35">
      <c r="A137" s="11" t="s">
        <v>346</v>
      </c>
      <c r="B137" s="17">
        <v>45939</v>
      </c>
      <c r="C137" s="11" t="s">
        <v>305</v>
      </c>
      <c r="D137" s="11" t="s">
        <v>306</v>
      </c>
      <c r="E137" s="11" t="s">
        <v>12</v>
      </c>
      <c r="F137" s="11" t="s">
        <v>41</v>
      </c>
      <c r="G137" s="11" t="s">
        <v>80</v>
      </c>
      <c r="H137" s="11" t="s">
        <v>54</v>
      </c>
      <c r="I137" s="11" t="s">
        <v>75</v>
      </c>
      <c r="J137" s="11" t="s">
        <v>73</v>
      </c>
      <c r="K137" s="11" t="s">
        <v>49</v>
      </c>
      <c r="L137" s="11">
        <v>5</v>
      </c>
      <c r="M137" s="14">
        <v>1900000</v>
      </c>
      <c r="N137" s="15">
        <v>0.05</v>
      </c>
      <c r="O137" s="14">
        <v>1200000</v>
      </c>
      <c r="P137" s="11" t="s">
        <v>30</v>
      </c>
    </row>
    <row r="138" spans="1:16" x14ac:dyDescent="0.35">
      <c r="A138" s="11" t="s">
        <v>347</v>
      </c>
      <c r="B138" s="17">
        <v>45941</v>
      </c>
      <c r="C138" s="11" t="s">
        <v>110</v>
      </c>
      <c r="D138" s="11" t="s">
        <v>111</v>
      </c>
      <c r="E138" s="11" t="s">
        <v>12</v>
      </c>
      <c r="F138" s="11" t="s">
        <v>14</v>
      </c>
      <c r="G138" s="11" t="s">
        <v>70</v>
      </c>
      <c r="H138" s="11" t="s">
        <v>18</v>
      </c>
      <c r="I138" s="11" t="s">
        <v>96</v>
      </c>
      <c r="J138" s="11" t="s">
        <v>22</v>
      </c>
      <c r="K138" s="11" t="s">
        <v>76</v>
      </c>
      <c r="L138" s="11">
        <v>5</v>
      </c>
      <c r="M138" s="14">
        <v>750000</v>
      </c>
      <c r="N138" s="15">
        <v>0.2</v>
      </c>
      <c r="O138" s="14">
        <v>390000</v>
      </c>
      <c r="P138" s="11" t="s">
        <v>30</v>
      </c>
    </row>
    <row r="139" spans="1:16" x14ac:dyDescent="0.35">
      <c r="A139" s="11" t="s">
        <v>348</v>
      </c>
      <c r="B139" s="17">
        <v>45941</v>
      </c>
      <c r="C139" s="11" t="s">
        <v>157</v>
      </c>
      <c r="D139" s="11" t="s">
        <v>158</v>
      </c>
      <c r="E139" s="11" t="s">
        <v>40</v>
      </c>
      <c r="F139" s="11" t="s">
        <v>41</v>
      </c>
      <c r="G139" s="11" t="s">
        <v>80</v>
      </c>
      <c r="H139" s="11" t="s">
        <v>43</v>
      </c>
      <c r="I139" s="11" t="s">
        <v>127</v>
      </c>
      <c r="J139" s="11" t="s">
        <v>56</v>
      </c>
      <c r="K139" s="11" t="s">
        <v>57</v>
      </c>
      <c r="L139" s="11">
        <v>1</v>
      </c>
      <c r="M139" s="14">
        <v>336000</v>
      </c>
      <c r="N139" s="15">
        <v>0</v>
      </c>
      <c r="O139" s="14">
        <v>150000</v>
      </c>
      <c r="P139" s="11" t="s">
        <v>30</v>
      </c>
    </row>
    <row r="140" spans="1:16" x14ac:dyDescent="0.35">
      <c r="A140" s="11" t="s">
        <v>349</v>
      </c>
      <c r="B140" s="17">
        <v>45944</v>
      </c>
      <c r="C140" s="11" t="s">
        <v>52</v>
      </c>
      <c r="D140" s="11" t="s">
        <v>53</v>
      </c>
      <c r="E140" s="11" t="s">
        <v>40</v>
      </c>
      <c r="F140" s="11" t="s">
        <v>41</v>
      </c>
      <c r="G140" s="11" t="s">
        <v>42</v>
      </c>
      <c r="H140" s="11" t="s">
        <v>18</v>
      </c>
      <c r="I140" s="11" t="s">
        <v>96</v>
      </c>
      <c r="J140" s="11" t="s">
        <v>22</v>
      </c>
      <c r="K140" s="11" t="s">
        <v>76</v>
      </c>
      <c r="L140" s="11">
        <v>3</v>
      </c>
      <c r="M140" s="14">
        <v>750000</v>
      </c>
      <c r="N140" s="15">
        <v>0.05</v>
      </c>
      <c r="O140" s="14">
        <v>390000</v>
      </c>
      <c r="P140" s="11" t="s">
        <v>30</v>
      </c>
    </row>
    <row r="141" spans="1:16" x14ac:dyDescent="0.35">
      <c r="A141" s="11" t="s">
        <v>350</v>
      </c>
      <c r="B141" s="17">
        <v>45948</v>
      </c>
      <c r="C141" s="11" t="s">
        <v>8</v>
      </c>
      <c r="D141" s="11" t="s">
        <v>129</v>
      </c>
      <c r="E141" s="11" t="s">
        <v>40</v>
      </c>
      <c r="F141" s="11" t="s">
        <v>63</v>
      </c>
      <c r="G141" s="11" t="s">
        <v>130</v>
      </c>
      <c r="H141" s="11" t="s">
        <v>65</v>
      </c>
      <c r="I141" s="11" t="s">
        <v>201</v>
      </c>
      <c r="J141" s="11" t="s">
        <v>22</v>
      </c>
      <c r="K141" s="11" t="s">
        <v>88</v>
      </c>
      <c r="L141" s="11">
        <v>4</v>
      </c>
      <c r="M141" s="14">
        <v>980000</v>
      </c>
      <c r="N141" s="15">
        <v>0</v>
      </c>
      <c r="O141" s="14">
        <v>600000</v>
      </c>
      <c r="P141" s="11" t="s">
        <v>30</v>
      </c>
    </row>
    <row r="142" spans="1:16" x14ac:dyDescent="0.35">
      <c r="A142" s="11" t="s">
        <v>351</v>
      </c>
      <c r="B142" s="17">
        <v>45951</v>
      </c>
      <c r="C142" s="11" t="s">
        <v>232</v>
      </c>
      <c r="D142" s="11" t="s">
        <v>233</v>
      </c>
      <c r="E142" s="11" t="s">
        <v>40</v>
      </c>
      <c r="F142" s="11" t="s">
        <v>41</v>
      </c>
      <c r="G142" s="11" t="s">
        <v>42</v>
      </c>
      <c r="H142" s="11" t="s">
        <v>18</v>
      </c>
      <c r="I142" s="11" t="s">
        <v>96</v>
      </c>
      <c r="J142" s="11" t="s">
        <v>56</v>
      </c>
      <c r="K142" s="11" t="s">
        <v>49</v>
      </c>
      <c r="L142" s="11">
        <v>2</v>
      </c>
      <c r="M142" s="14">
        <v>712000</v>
      </c>
      <c r="N142" s="15">
        <v>0.05</v>
      </c>
      <c r="O142" s="14">
        <v>390000</v>
      </c>
      <c r="P142" s="11" t="s">
        <v>30</v>
      </c>
    </row>
    <row r="143" spans="1:16" x14ac:dyDescent="0.35">
      <c r="A143" s="11" t="s">
        <v>352</v>
      </c>
      <c r="B143" s="17">
        <v>45952</v>
      </c>
      <c r="C143" s="11" t="s">
        <v>95</v>
      </c>
      <c r="D143" s="11" t="s">
        <v>10</v>
      </c>
      <c r="E143" s="11" t="s">
        <v>12</v>
      </c>
      <c r="F143" s="11" t="s">
        <v>41</v>
      </c>
      <c r="G143" s="11" t="s">
        <v>42</v>
      </c>
      <c r="H143" s="11" t="s">
        <v>65</v>
      </c>
      <c r="I143" s="11" t="s">
        <v>140</v>
      </c>
      <c r="J143" s="11" t="s">
        <v>22</v>
      </c>
      <c r="K143" s="11" t="s">
        <v>76</v>
      </c>
      <c r="L143" s="11">
        <v>3</v>
      </c>
      <c r="M143" s="14">
        <v>1600000</v>
      </c>
      <c r="N143" s="15">
        <v>0.05</v>
      </c>
      <c r="O143" s="14">
        <v>1000000</v>
      </c>
      <c r="P143" s="11" t="s">
        <v>98</v>
      </c>
    </row>
    <row r="144" spans="1:16" x14ac:dyDescent="0.35">
      <c r="A144" s="11" t="s">
        <v>353</v>
      </c>
      <c r="B144" s="17">
        <v>45952</v>
      </c>
      <c r="C144" s="11" t="s">
        <v>341</v>
      </c>
      <c r="D144" s="11" t="s">
        <v>342</v>
      </c>
      <c r="E144" s="11" t="s">
        <v>40</v>
      </c>
      <c r="F144" s="11" t="s">
        <v>14</v>
      </c>
      <c r="G144" s="11" t="s">
        <v>16</v>
      </c>
      <c r="H144" s="11" t="s">
        <v>18</v>
      </c>
      <c r="I144" s="11" t="s">
        <v>120</v>
      </c>
      <c r="J144" s="11" t="s">
        <v>22</v>
      </c>
      <c r="K144" s="11" t="s">
        <v>106</v>
      </c>
      <c r="L144" s="11">
        <v>2</v>
      </c>
      <c r="M144" s="14">
        <v>280000</v>
      </c>
      <c r="N144" s="15">
        <v>0.05</v>
      </c>
      <c r="O144" s="14">
        <v>130000</v>
      </c>
      <c r="P144" s="11" t="s">
        <v>30</v>
      </c>
    </row>
    <row r="145" spans="1:16" x14ac:dyDescent="0.35">
      <c r="A145" s="11" t="s">
        <v>354</v>
      </c>
      <c r="B145" s="17">
        <v>45957</v>
      </c>
      <c r="C145" s="11" t="s">
        <v>271</v>
      </c>
      <c r="D145" s="11" t="s">
        <v>272</v>
      </c>
      <c r="E145" s="11" t="s">
        <v>40</v>
      </c>
      <c r="F145" s="11" t="s">
        <v>14</v>
      </c>
      <c r="G145" s="11" t="s">
        <v>135</v>
      </c>
      <c r="H145" s="11" t="s">
        <v>71</v>
      </c>
      <c r="I145" s="11" t="s">
        <v>87</v>
      </c>
      <c r="J145" s="11" t="s">
        <v>56</v>
      </c>
      <c r="K145" s="11" t="s">
        <v>49</v>
      </c>
      <c r="L145" s="11">
        <v>1</v>
      </c>
      <c r="M145" s="14">
        <v>361000</v>
      </c>
      <c r="N145" s="15">
        <v>0.05</v>
      </c>
      <c r="O145" s="14">
        <v>250000</v>
      </c>
      <c r="P145" s="11" t="s">
        <v>30</v>
      </c>
    </row>
    <row r="146" spans="1:16" x14ac:dyDescent="0.35">
      <c r="A146" s="11" t="s">
        <v>355</v>
      </c>
      <c r="B146" s="17">
        <v>45958</v>
      </c>
      <c r="C146" s="11" t="s">
        <v>152</v>
      </c>
      <c r="D146" s="11" t="s">
        <v>153</v>
      </c>
      <c r="E146" s="11" t="s">
        <v>40</v>
      </c>
      <c r="F146" s="11" t="s">
        <v>41</v>
      </c>
      <c r="G146" s="11" t="s">
        <v>80</v>
      </c>
      <c r="H146" s="11" t="s">
        <v>43</v>
      </c>
      <c r="I146" s="11" t="s">
        <v>44</v>
      </c>
      <c r="J146" s="11" t="s">
        <v>22</v>
      </c>
      <c r="K146" s="11" t="s">
        <v>57</v>
      </c>
      <c r="L146" s="11">
        <v>3</v>
      </c>
      <c r="M146" s="14">
        <v>588000</v>
      </c>
      <c r="N146" s="15">
        <v>0.05</v>
      </c>
      <c r="O146" s="14">
        <v>260000</v>
      </c>
      <c r="P146" s="11" t="s">
        <v>30</v>
      </c>
    </row>
    <row r="147" spans="1:16" x14ac:dyDescent="0.35">
      <c r="A147" s="11" t="s">
        <v>356</v>
      </c>
      <c r="B147" s="17">
        <v>45958</v>
      </c>
      <c r="C147" s="11" t="s">
        <v>254</v>
      </c>
      <c r="D147" s="11" t="s">
        <v>255</v>
      </c>
      <c r="E147" s="11" t="s">
        <v>40</v>
      </c>
      <c r="F147" s="11" t="s">
        <v>14</v>
      </c>
      <c r="G147" s="11" t="s">
        <v>16</v>
      </c>
      <c r="H147" s="11" t="s">
        <v>54</v>
      </c>
      <c r="I147" s="11" t="s">
        <v>136</v>
      </c>
      <c r="J147" s="11" t="s">
        <v>22</v>
      </c>
      <c r="K147" s="11" t="s">
        <v>24</v>
      </c>
      <c r="L147" s="11">
        <v>1</v>
      </c>
      <c r="M147" s="14">
        <v>1140000</v>
      </c>
      <c r="N147" s="15">
        <v>0.15</v>
      </c>
      <c r="O147" s="14">
        <v>720000</v>
      </c>
      <c r="P147" s="11" t="s">
        <v>30</v>
      </c>
    </row>
    <row r="148" spans="1:16" x14ac:dyDescent="0.35">
      <c r="A148" s="11" t="s">
        <v>357</v>
      </c>
      <c r="B148" s="17">
        <v>45959</v>
      </c>
      <c r="C148" s="11" t="s">
        <v>138</v>
      </c>
      <c r="D148" s="11" t="s">
        <v>139</v>
      </c>
      <c r="E148" s="11" t="s">
        <v>40</v>
      </c>
      <c r="F148" s="11" t="s">
        <v>14</v>
      </c>
      <c r="G148" s="11" t="s">
        <v>70</v>
      </c>
      <c r="H148" s="11" t="s">
        <v>65</v>
      </c>
      <c r="I148" s="11" t="s">
        <v>262</v>
      </c>
      <c r="J148" s="11" t="s">
        <v>22</v>
      </c>
      <c r="K148" s="11" t="s">
        <v>159</v>
      </c>
      <c r="L148" s="11">
        <v>4</v>
      </c>
      <c r="M148" s="14">
        <v>2520000</v>
      </c>
      <c r="N148" s="15">
        <v>0</v>
      </c>
      <c r="O148" s="14">
        <v>1550000</v>
      </c>
      <c r="P148" s="11" t="s">
        <v>30</v>
      </c>
    </row>
    <row r="149" spans="1:16" x14ac:dyDescent="0.35">
      <c r="A149" s="11" t="s">
        <v>358</v>
      </c>
      <c r="B149" s="17">
        <v>45959</v>
      </c>
      <c r="C149" s="11" t="s">
        <v>78</v>
      </c>
      <c r="D149" s="11" t="s">
        <v>79</v>
      </c>
      <c r="E149" s="11" t="s">
        <v>40</v>
      </c>
      <c r="F149" s="11" t="s">
        <v>41</v>
      </c>
      <c r="G149" s="11" t="s">
        <v>80</v>
      </c>
      <c r="H149" s="11" t="s">
        <v>43</v>
      </c>
      <c r="I149" s="11" t="s">
        <v>127</v>
      </c>
      <c r="J149" s="11" t="s">
        <v>73</v>
      </c>
      <c r="K149" s="11" t="s">
        <v>82</v>
      </c>
      <c r="L149" s="11">
        <v>2</v>
      </c>
      <c r="M149" s="14">
        <v>336000</v>
      </c>
      <c r="N149" s="15">
        <v>0.1</v>
      </c>
      <c r="O149" s="14">
        <v>150000</v>
      </c>
      <c r="P149" s="11" t="s">
        <v>30</v>
      </c>
    </row>
    <row r="150" spans="1:16" x14ac:dyDescent="0.35">
      <c r="A150" s="11" t="s">
        <v>359</v>
      </c>
      <c r="B150" s="17">
        <v>45964</v>
      </c>
      <c r="C150" s="11" t="s">
        <v>281</v>
      </c>
      <c r="D150" s="11" t="s">
        <v>282</v>
      </c>
      <c r="E150" s="11" t="s">
        <v>12</v>
      </c>
      <c r="F150" s="11" t="s">
        <v>63</v>
      </c>
      <c r="G150" s="11" t="s">
        <v>64</v>
      </c>
      <c r="H150" s="11" t="s">
        <v>71</v>
      </c>
      <c r="I150" s="11" t="s">
        <v>87</v>
      </c>
      <c r="J150" s="11" t="s">
        <v>56</v>
      </c>
      <c r="K150" s="11" t="s">
        <v>57</v>
      </c>
      <c r="L150" s="11">
        <v>10</v>
      </c>
      <c r="M150" s="14">
        <v>380000</v>
      </c>
      <c r="N150" s="15">
        <v>0</v>
      </c>
      <c r="O150" s="14">
        <v>250000</v>
      </c>
      <c r="P150" s="11" t="s">
        <v>58</v>
      </c>
    </row>
    <row r="151" spans="1:16" x14ac:dyDescent="0.35">
      <c r="A151" s="11" t="s">
        <v>360</v>
      </c>
      <c r="B151" s="17">
        <v>45968</v>
      </c>
      <c r="C151" s="11" t="s">
        <v>61</v>
      </c>
      <c r="D151" s="11" t="s">
        <v>62</v>
      </c>
      <c r="E151" s="11" t="s">
        <v>40</v>
      </c>
      <c r="F151" s="11" t="s">
        <v>63</v>
      </c>
      <c r="G151" s="11" t="s">
        <v>64</v>
      </c>
      <c r="H151" s="11" t="s">
        <v>65</v>
      </c>
      <c r="I151" s="11" t="s">
        <v>262</v>
      </c>
      <c r="J151" s="11" t="s">
        <v>56</v>
      </c>
      <c r="K151" s="11" t="s">
        <v>24</v>
      </c>
      <c r="L151" s="11">
        <v>1</v>
      </c>
      <c r="M151" s="14">
        <v>2400000</v>
      </c>
      <c r="N151" s="15">
        <v>0.1</v>
      </c>
      <c r="O151" s="14">
        <v>1550000</v>
      </c>
      <c r="P151" s="11" t="s">
        <v>30</v>
      </c>
    </row>
    <row r="152" spans="1:16" x14ac:dyDescent="0.35">
      <c r="A152" s="11" t="s">
        <v>361</v>
      </c>
      <c r="B152" s="17">
        <v>45968</v>
      </c>
      <c r="C152" s="11" t="s">
        <v>323</v>
      </c>
      <c r="D152" s="11" t="s">
        <v>324</v>
      </c>
      <c r="E152" s="11" t="s">
        <v>40</v>
      </c>
      <c r="F152" s="11" t="s">
        <v>41</v>
      </c>
      <c r="G152" s="11" t="s">
        <v>80</v>
      </c>
      <c r="H152" s="11" t="s">
        <v>43</v>
      </c>
      <c r="I152" s="11" t="s">
        <v>48</v>
      </c>
      <c r="J152" s="11" t="s">
        <v>22</v>
      </c>
      <c r="K152" s="11" t="s">
        <v>159</v>
      </c>
      <c r="L152" s="11">
        <v>2</v>
      </c>
      <c r="M152" s="14">
        <v>290000</v>
      </c>
      <c r="N152" s="15">
        <v>0.1</v>
      </c>
      <c r="O152" s="14">
        <v>120000</v>
      </c>
      <c r="P152" s="11" t="s">
        <v>30</v>
      </c>
    </row>
    <row r="153" spans="1:16" x14ac:dyDescent="0.35">
      <c r="A153" s="11" t="s">
        <v>362</v>
      </c>
      <c r="B153" s="17">
        <v>45968</v>
      </c>
      <c r="C153" s="11" t="s">
        <v>363</v>
      </c>
      <c r="D153" s="11" t="s">
        <v>364</v>
      </c>
      <c r="E153" s="11" t="s">
        <v>40</v>
      </c>
      <c r="F153" s="18" t="s">
        <v>155</v>
      </c>
      <c r="G153" s="11" t="s">
        <v>135</v>
      </c>
      <c r="H153" s="11" t="s">
        <v>54</v>
      </c>
      <c r="I153" s="11" t="s">
        <v>136</v>
      </c>
      <c r="J153" s="11" t="s">
        <v>22</v>
      </c>
      <c r="K153" s="11" t="s">
        <v>24</v>
      </c>
      <c r="L153" s="11">
        <v>2</v>
      </c>
      <c r="M153" s="14">
        <v>1200000</v>
      </c>
      <c r="N153" s="15">
        <v>0.1</v>
      </c>
      <c r="O153" s="14">
        <v>720000</v>
      </c>
      <c r="P153" s="11" t="s">
        <v>30</v>
      </c>
    </row>
    <row r="154" spans="1:16" x14ac:dyDescent="0.35">
      <c r="A154" s="11" t="s">
        <v>365</v>
      </c>
      <c r="B154" s="17">
        <v>45970</v>
      </c>
      <c r="C154" s="11" t="s">
        <v>266</v>
      </c>
      <c r="D154" s="11" t="s">
        <v>267</v>
      </c>
      <c r="E154" s="11" t="s">
        <v>40</v>
      </c>
      <c r="F154" s="11" t="s">
        <v>41</v>
      </c>
      <c r="G154" s="11" t="s">
        <v>86</v>
      </c>
      <c r="H154" s="11" t="s">
        <v>18</v>
      </c>
      <c r="I154" s="11" t="s">
        <v>20</v>
      </c>
      <c r="J154" s="11" t="s">
        <v>97</v>
      </c>
      <c r="K154" s="11" t="s">
        <v>57</v>
      </c>
      <c r="L154" s="11">
        <v>1</v>
      </c>
      <c r="M154" s="14">
        <v>1200000</v>
      </c>
      <c r="N154" s="15">
        <v>0</v>
      </c>
      <c r="O154" s="14">
        <v>620000</v>
      </c>
      <c r="P154" s="11" t="s">
        <v>30</v>
      </c>
    </row>
    <row r="155" spans="1:16" x14ac:dyDescent="0.35">
      <c r="A155" s="11" t="s">
        <v>366</v>
      </c>
      <c r="B155" s="17">
        <v>45972</v>
      </c>
      <c r="C155" s="11" t="s">
        <v>266</v>
      </c>
      <c r="D155" s="11" t="s">
        <v>267</v>
      </c>
      <c r="E155" s="11" t="s">
        <v>40</v>
      </c>
      <c r="F155" s="11" t="s">
        <v>41</v>
      </c>
      <c r="G155" s="11" t="s">
        <v>86</v>
      </c>
      <c r="H155" s="11" t="s">
        <v>18</v>
      </c>
      <c r="I155" s="11" t="s">
        <v>20</v>
      </c>
      <c r="J155" s="11" t="s">
        <v>22</v>
      </c>
      <c r="K155" s="11" t="s">
        <v>88</v>
      </c>
      <c r="L155" s="11">
        <v>1</v>
      </c>
      <c r="M155" s="14">
        <v>1200000</v>
      </c>
      <c r="N155" s="15">
        <v>0.05</v>
      </c>
      <c r="O155" s="14">
        <v>620000</v>
      </c>
      <c r="P155" s="11" t="s">
        <v>30</v>
      </c>
    </row>
    <row r="156" spans="1:16" x14ac:dyDescent="0.35">
      <c r="A156" s="11" t="s">
        <v>367</v>
      </c>
      <c r="B156" s="17">
        <v>45973</v>
      </c>
      <c r="C156" s="11" t="s">
        <v>146</v>
      </c>
      <c r="D156" s="11" t="s">
        <v>147</v>
      </c>
      <c r="E156" s="11" t="s">
        <v>40</v>
      </c>
      <c r="F156" s="11" t="s">
        <v>41</v>
      </c>
      <c r="G156" s="11" t="s">
        <v>80</v>
      </c>
      <c r="H156" s="11" t="s">
        <v>54</v>
      </c>
      <c r="I156" s="11" t="s">
        <v>75</v>
      </c>
      <c r="J156" s="11" t="s">
        <v>73</v>
      </c>
      <c r="K156" s="11" t="s">
        <v>76</v>
      </c>
      <c r="L156" s="11">
        <v>3</v>
      </c>
      <c r="M156" s="14">
        <v>1995000</v>
      </c>
      <c r="N156" s="15">
        <v>0.05</v>
      </c>
      <c r="O156" s="14">
        <v>1200000</v>
      </c>
      <c r="P156" s="11" t="s">
        <v>58</v>
      </c>
    </row>
    <row r="157" spans="1:16" x14ac:dyDescent="0.35">
      <c r="A157" s="11" t="s">
        <v>368</v>
      </c>
      <c r="B157" s="17">
        <v>45974</v>
      </c>
      <c r="C157" s="11" t="s">
        <v>188</v>
      </c>
      <c r="D157" s="11" t="s">
        <v>189</v>
      </c>
      <c r="E157" s="11" t="s">
        <v>40</v>
      </c>
      <c r="F157" s="11" t="s">
        <v>14</v>
      </c>
      <c r="G157" s="11" t="s">
        <v>16</v>
      </c>
      <c r="H157" s="11" t="s">
        <v>65</v>
      </c>
      <c r="I157" s="11" t="s">
        <v>66</v>
      </c>
      <c r="J157" s="11" t="s">
        <v>73</v>
      </c>
      <c r="K157" s="11" t="s">
        <v>57</v>
      </c>
      <c r="L157" s="11">
        <v>3</v>
      </c>
      <c r="M157" s="14">
        <v>520000</v>
      </c>
      <c r="N157" s="15">
        <v>0.05</v>
      </c>
      <c r="O157" s="14">
        <v>310000</v>
      </c>
      <c r="P157" s="11" t="s">
        <v>30</v>
      </c>
    </row>
    <row r="158" spans="1:16" x14ac:dyDescent="0.35">
      <c r="A158" s="11" t="s">
        <v>369</v>
      </c>
      <c r="B158" s="17">
        <v>45975</v>
      </c>
      <c r="C158" s="11" t="s">
        <v>196</v>
      </c>
      <c r="D158" s="11" t="s">
        <v>197</v>
      </c>
      <c r="E158" s="11" t="s">
        <v>40</v>
      </c>
      <c r="F158" s="11" t="s">
        <v>41</v>
      </c>
      <c r="G158" s="11" t="s">
        <v>42</v>
      </c>
      <c r="H158" s="11" t="s">
        <v>43</v>
      </c>
      <c r="I158" s="11" t="s">
        <v>127</v>
      </c>
      <c r="J158" s="18"/>
      <c r="K158" s="11" t="s">
        <v>88</v>
      </c>
      <c r="L158" s="11">
        <v>1</v>
      </c>
      <c r="M158" s="14">
        <v>304000</v>
      </c>
      <c r="N158" s="15">
        <v>0.2</v>
      </c>
      <c r="O158" s="14">
        <v>150000</v>
      </c>
      <c r="P158" s="11" t="s">
        <v>30</v>
      </c>
    </row>
    <row r="159" spans="1:16" x14ac:dyDescent="0.35">
      <c r="A159" s="11" t="s">
        <v>370</v>
      </c>
      <c r="B159" s="17">
        <v>45977</v>
      </c>
      <c r="C159" s="11" t="s">
        <v>175</v>
      </c>
      <c r="D159" s="11" t="s">
        <v>176</v>
      </c>
      <c r="E159" s="11" t="s">
        <v>12</v>
      </c>
      <c r="F159" s="11" t="s">
        <v>41</v>
      </c>
      <c r="G159" s="11" t="s">
        <v>80</v>
      </c>
      <c r="H159" s="11" t="s">
        <v>43</v>
      </c>
      <c r="I159" s="11" t="s">
        <v>127</v>
      </c>
      <c r="J159" s="11" t="s">
        <v>22</v>
      </c>
      <c r="K159" s="11" t="s">
        <v>49</v>
      </c>
      <c r="L159" s="11">
        <v>5</v>
      </c>
      <c r="M159" s="14">
        <v>336000</v>
      </c>
      <c r="N159" s="15">
        <v>0.1</v>
      </c>
      <c r="O159" s="14">
        <v>150000</v>
      </c>
      <c r="P159" s="11" t="s">
        <v>30</v>
      </c>
    </row>
    <row r="160" spans="1:16" x14ac:dyDescent="0.35">
      <c r="A160" s="11" t="s">
        <v>371</v>
      </c>
      <c r="B160" s="17">
        <v>45981</v>
      </c>
      <c r="C160" s="11" t="s">
        <v>196</v>
      </c>
      <c r="D160" s="11" t="s">
        <v>197</v>
      </c>
      <c r="E160" s="11" t="s">
        <v>40</v>
      </c>
      <c r="F160" s="11" t="s">
        <v>41</v>
      </c>
      <c r="G160" s="11" t="s">
        <v>42</v>
      </c>
      <c r="H160" s="11" t="s">
        <v>65</v>
      </c>
      <c r="I160" s="11" t="s">
        <v>262</v>
      </c>
      <c r="J160" s="11" t="s">
        <v>22</v>
      </c>
      <c r="K160" s="11" t="s">
        <v>159</v>
      </c>
      <c r="L160" s="11">
        <v>1</v>
      </c>
      <c r="M160" s="14">
        <v>2520000</v>
      </c>
      <c r="N160" s="15">
        <v>0.1</v>
      </c>
      <c r="O160" s="14">
        <v>1550000</v>
      </c>
      <c r="P160" s="11" t="s">
        <v>30</v>
      </c>
    </row>
    <row r="161" spans="1:16" x14ac:dyDescent="0.35">
      <c r="A161" s="22" t="s">
        <v>307</v>
      </c>
      <c r="B161" s="23">
        <v>45893</v>
      </c>
      <c r="C161" s="22" t="s">
        <v>292</v>
      </c>
      <c r="D161" s="22" t="s">
        <v>293</v>
      </c>
      <c r="E161" s="22" t="s">
        <v>40</v>
      </c>
      <c r="F161" s="22" t="s">
        <v>14</v>
      </c>
      <c r="G161" s="22" t="s">
        <v>70</v>
      </c>
      <c r="H161" s="22" t="s">
        <v>65</v>
      </c>
      <c r="I161" s="22" t="s">
        <v>201</v>
      </c>
      <c r="J161" s="22" t="s">
        <v>56</v>
      </c>
      <c r="K161" s="22" t="s">
        <v>106</v>
      </c>
      <c r="L161" s="22">
        <v>1</v>
      </c>
      <c r="M161" s="24">
        <v>931000</v>
      </c>
      <c r="N161" s="25">
        <v>0</v>
      </c>
      <c r="O161" s="24">
        <v>600000</v>
      </c>
      <c r="P161" s="22" t="s">
        <v>30</v>
      </c>
    </row>
    <row r="162" spans="1:16" x14ac:dyDescent="0.35">
      <c r="A162" s="11" t="s">
        <v>372</v>
      </c>
      <c r="B162" s="17">
        <v>45982</v>
      </c>
      <c r="C162" s="11" t="s">
        <v>125</v>
      </c>
      <c r="D162" s="11" t="s">
        <v>126</v>
      </c>
      <c r="E162" s="11" t="s">
        <v>40</v>
      </c>
      <c r="F162" s="11" t="s">
        <v>63</v>
      </c>
      <c r="G162" s="11" t="s">
        <v>92</v>
      </c>
      <c r="H162" s="11" t="s">
        <v>18</v>
      </c>
      <c r="I162" s="11" t="s">
        <v>20</v>
      </c>
      <c r="J162" s="11" t="s">
        <v>97</v>
      </c>
      <c r="K162" s="11" t="s">
        <v>76</v>
      </c>
      <c r="L162" s="11">
        <v>1</v>
      </c>
      <c r="M162" s="14">
        <v>1260000</v>
      </c>
      <c r="N162" s="15">
        <v>0.05</v>
      </c>
      <c r="O162" s="14">
        <v>620000</v>
      </c>
      <c r="P162" s="11" t="s">
        <v>30</v>
      </c>
    </row>
    <row r="163" spans="1:16" x14ac:dyDescent="0.35">
      <c r="A163" s="11" t="s">
        <v>373</v>
      </c>
      <c r="B163" s="17">
        <v>45990</v>
      </c>
      <c r="C163" s="11" t="s">
        <v>327</v>
      </c>
      <c r="D163" s="11" t="s">
        <v>328</v>
      </c>
      <c r="E163" s="11" t="s">
        <v>12</v>
      </c>
      <c r="F163" s="11" t="s">
        <v>41</v>
      </c>
      <c r="G163" s="11" t="s">
        <v>42</v>
      </c>
      <c r="H163" s="11" t="s">
        <v>54</v>
      </c>
      <c r="I163" s="11" t="s">
        <v>220</v>
      </c>
      <c r="J163" s="11" t="s">
        <v>97</v>
      </c>
      <c r="K163" s="11" t="s">
        <v>49</v>
      </c>
      <c r="L163" s="11">
        <v>2</v>
      </c>
      <c r="M163" s="14">
        <v>450000</v>
      </c>
      <c r="N163" s="15">
        <v>0.1</v>
      </c>
      <c r="O163" s="14">
        <v>260000</v>
      </c>
      <c r="P163" s="11" t="s">
        <v>30</v>
      </c>
    </row>
    <row r="164" spans="1:16" x14ac:dyDescent="0.35">
      <c r="A164" s="11" t="s">
        <v>374</v>
      </c>
      <c r="B164" s="17">
        <v>45991</v>
      </c>
      <c r="C164" s="11" t="s">
        <v>149</v>
      </c>
      <c r="D164" s="11" t="s">
        <v>150</v>
      </c>
      <c r="E164" s="11" t="s">
        <v>40</v>
      </c>
      <c r="F164" s="11" t="s">
        <v>41</v>
      </c>
      <c r="G164" s="11" t="s">
        <v>80</v>
      </c>
      <c r="H164" s="11" t="s">
        <v>43</v>
      </c>
      <c r="I164" s="11" t="s">
        <v>127</v>
      </c>
      <c r="J164" s="11" t="s">
        <v>56</v>
      </c>
      <c r="K164" s="11" t="s">
        <v>106</v>
      </c>
      <c r="L164" s="11">
        <v>1</v>
      </c>
      <c r="M164" s="14">
        <v>320000</v>
      </c>
      <c r="N164" s="15">
        <v>0</v>
      </c>
      <c r="O164" s="14">
        <v>150000</v>
      </c>
      <c r="P164" s="11" t="s">
        <v>30</v>
      </c>
    </row>
    <row r="165" spans="1:16" x14ac:dyDescent="0.35">
      <c r="A165" s="11" t="s">
        <v>375</v>
      </c>
      <c r="B165" s="17">
        <v>45991</v>
      </c>
      <c r="C165" s="11" t="s">
        <v>309</v>
      </c>
      <c r="D165" s="11" t="s">
        <v>310</v>
      </c>
      <c r="E165" s="11" t="s">
        <v>40</v>
      </c>
      <c r="F165" s="11" t="s">
        <v>41</v>
      </c>
      <c r="G165" s="11" t="s">
        <v>173</v>
      </c>
      <c r="H165" s="11" t="s">
        <v>18</v>
      </c>
      <c r="I165" s="11" t="s">
        <v>96</v>
      </c>
      <c r="J165" s="11" t="s">
        <v>56</v>
      </c>
      <c r="K165" s="11" t="s">
        <v>24</v>
      </c>
      <c r="L165" s="11">
        <v>2</v>
      </c>
      <c r="M165" s="14">
        <v>750000</v>
      </c>
      <c r="N165" s="15">
        <v>0.05</v>
      </c>
      <c r="O165" s="14">
        <v>390000</v>
      </c>
      <c r="P165" s="11" t="s">
        <v>58</v>
      </c>
    </row>
    <row r="166" spans="1:16" x14ac:dyDescent="0.35">
      <c r="A166" s="11" t="s">
        <v>376</v>
      </c>
      <c r="B166" s="17">
        <v>45992</v>
      </c>
      <c r="C166" s="11" t="s">
        <v>236</v>
      </c>
      <c r="D166" s="11" t="s">
        <v>237</v>
      </c>
      <c r="E166" s="11" t="s">
        <v>40</v>
      </c>
      <c r="F166" s="11" t="s">
        <v>63</v>
      </c>
      <c r="G166" s="11" t="s">
        <v>238</v>
      </c>
      <c r="H166" s="11" t="s">
        <v>65</v>
      </c>
      <c r="I166" s="11" t="s">
        <v>140</v>
      </c>
      <c r="J166" s="11" t="s">
        <v>56</v>
      </c>
      <c r="K166" s="11" t="s">
        <v>49</v>
      </c>
      <c r="L166" s="11">
        <v>2</v>
      </c>
      <c r="M166" s="14">
        <v>1600000</v>
      </c>
      <c r="N166" s="15">
        <v>0.1</v>
      </c>
      <c r="O166" s="14">
        <v>1000000</v>
      </c>
      <c r="P166" s="11" t="s">
        <v>30</v>
      </c>
    </row>
    <row r="167" spans="1:16" x14ac:dyDescent="0.35">
      <c r="A167" s="11" t="s">
        <v>377</v>
      </c>
      <c r="B167" s="17">
        <v>45992</v>
      </c>
      <c r="C167" s="11" t="s">
        <v>222</v>
      </c>
      <c r="D167" s="11" t="s">
        <v>223</v>
      </c>
      <c r="E167" s="11" t="s">
        <v>40</v>
      </c>
      <c r="F167" s="11" t="s">
        <v>14</v>
      </c>
      <c r="G167" s="11" t="s">
        <v>70</v>
      </c>
      <c r="H167" s="11" t="s">
        <v>65</v>
      </c>
      <c r="I167" s="11" t="s">
        <v>262</v>
      </c>
      <c r="J167" s="11" t="s">
        <v>22</v>
      </c>
      <c r="K167" s="11" t="s">
        <v>57</v>
      </c>
      <c r="L167" s="11">
        <v>1</v>
      </c>
      <c r="M167" s="14">
        <v>2520000</v>
      </c>
      <c r="N167" s="15">
        <v>0.15</v>
      </c>
      <c r="O167" s="14">
        <v>1550000</v>
      </c>
      <c r="P167" s="11" t="s">
        <v>30</v>
      </c>
    </row>
    <row r="168" spans="1:16" x14ac:dyDescent="0.35">
      <c r="A168" s="11" t="s">
        <v>378</v>
      </c>
      <c r="B168" s="17">
        <v>45993</v>
      </c>
      <c r="C168" s="11" t="s">
        <v>323</v>
      </c>
      <c r="D168" s="11" t="s">
        <v>324</v>
      </c>
      <c r="E168" s="11" t="s">
        <v>40</v>
      </c>
      <c r="F168" s="11" t="s">
        <v>41</v>
      </c>
      <c r="G168" s="11" t="s">
        <v>80</v>
      </c>
      <c r="H168" s="11" t="s">
        <v>54</v>
      </c>
      <c r="I168" s="11" t="s">
        <v>55</v>
      </c>
      <c r="J168" s="11" t="s">
        <v>73</v>
      </c>
      <c r="K168" s="11" t="s">
        <v>76</v>
      </c>
      <c r="L168" s="11">
        <v>2</v>
      </c>
      <c r="M168" s="14">
        <v>850000</v>
      </c>
      <c r="N168" s="15">
        <v>0.05</v>
      </c>
      <c r="O168" s="14">
        <v>520000</v>
      </c>
      <c r="P168" s="11" t="s">
        <v>98</v>
      </c>
    </row>
    <row r="169" spans="1:16" x14ac:dyDescent="0.35">
      <c r="A169" s="11" t="s">
        <v>379</v>
      </c>
      <c r="B169" s="17">
        <v>45994</v>
      </c>
      <c r="C169" s="11" t="s">
        <v>285</v>
      </c>
      <c r="D169" s="11" t="s">
        <v>286</v>
      </c>
      <c r="E169" s="11" t="s">
        <v>12</v>
      </c>
      <c r="F169" s="11" t="s">
        <v>14</v>
      </c>
      <c r="G169" s="11" t="s">
        <v>70</v>
      </c>
      <c r="H169" s="11" t="s">
        <v>18</v>
      </c>
      <c r="I169" s="11" t="s">
        <v>20</v>
      </c>
      <c r="J169" s="11" t="s">
        <v>97</v>
      </c>
      <c r="K169" s="11" t="s">
        <v>24</v>
      </c>
      <c r="L169" s="11">
        <v>3</v>
      </c>
      <c r="M169" s="14">
        <v>1140000</v>
      </c>
      <c r="N169" s="15">
        <v>0.15</v>
      </c>
      <c r="O169" s="14">
        <v>620000</v>
      </c>
      <c r="P169" s="11" t="s">
        <v>30</v>
      </c>
    </row>
    <row r="170" spans="1:16" x14ac:dyDescent="0.35">
      <c r="A170" s="11" t="s">
        <v>380</v>
      </c>
      <c r="B170" s="17">
        <v>45994</v>
      </c>
      <c r="C170" s="11" t="s">
        <v>125</v>
      </c>
      <c r="D170" s="11" t="s">
        <v>126</v>
      </c>
      <c r="E170" s="11" t="s">
        <v>40</v>
      </c>
      <c r="F170" s="11" t="s">
        <v>63</v>
      </c>
      <c r="G170" s="11" t="s">
        <v>92</v>
      </c>
      <c r="H170" s="11" t="s">
        <v>65</v>
      </c>
      <c r="I170" s="11" t="s">
        <v>262</v>
      </c>
      <c r="J170" s="11" t="s">
        <v>56</v>
      </c>
      <c r="K170" s="11" t="s">
        <v>106</v>
      </c>
      <c r="L170" s="11">
        <v>1</v>
      </c>
      <c r="M170" s="14">
        <v>2280000</v>
      </c>
      <c r="N170" s="15">
        <v>0.05</v>
      </c>
      <c r="O170" s="14">
        <v>1550000</v>
      </c>
      <c r="P170" s="11" t="s">
        <v>30</v>
      </c>
    </row>
    <row r="171" spans="1:16" x14ac:dyDescent="0.35">
      <c r="A171" s="11" t="s">
        <v>381</v>
      </c>
      <c r="B171" s="17">
        <v>45995</v>
      </c>
      <c r="C171" s="11" t="s">
        <v>175</v>
      </c>
      <c r="D171" s="11" t="s">
        <v>176</v>
      </c>
      <c r="E171" s="11" t="s">
        <v>12</v>
      </c>
      <c r="F171" s="11" t="s">
        <v>41</v>
      </c>
      <c r="G171" s="11" t="s">
        <v>80</v>
      </c>
      <c r="H171" s="11" t="s">
        <v>18</v>
      </c>
      <c r="I171" s="11" t="s">
        <v>120</v>
      </c>
      <c r="J171" s="11" t="s">
        <v>73</v>
      </c>
      <c r="K171" s="11" t="s">
        <v>57</v>
      </c>
      <c r="L171" s="11">
        <v>5</v>
      </c>
      <c r="M171" s="14">
        <v>280000</v>
      </c>
      <c r="N171" s="15">
        <v>0.1</v>
      </c>
      <c r="O171" s="14">
        <v>130000</v>
      </c>
      <c r="P171" s="11" t="s">
        <v>30</v>
      </c>
    </row>
    <row r="172" spans="1:16" x14ac:dyDescent="0.35">
      <c r="A172" s="11" t="s">
        <v>382</v>
      </c>
      <c r="B172" s="17">
        <v>45995</v>
      </c>
      <c r="C172" s="11" t="s">
        <v>113</v>
      </c>
      <c r="D172" s="11" t="s">
        <v>114</v>
      </c>
      <c r="E172" s="11" t="s">
        <v>40</v>
      </c>
      <c r="F172" s="11" t="s">
        <v>14</v>
      </c>
      <c r="G172" s="11" t="s">
        <v>70</v>
      </c>
      <c r="H172" s="11" t="s">
        <v>71</v>
      </c>
      <c r="I172" s="11" t="s">
        <v>81</v>
      </c>
      <c r="J172" s="11" t="s">
        <v>73</v>
      </c>
      <c r="K172" s="11" t="s">
        <v>106</v>
      </c>
      <c r="L172" s="11">
        <v>1</v>
      </c>
      <c r="M172" s="14">
        <v>340000</v>
      </c>
      <c r="N172" s="15">
        <v>0.2</v>
      </c>
      <c r="O172" s="14">
        <v>220000</v>
      </c>
      <c r="P172" s="11" t="s">
        <v>30</v>
      </c>
    </row>
    <row r="173" spans="1:16" x14ac:dyDescent="0.35">
      <c r="A173" s="11" t="s">
        <v>383</v>
      </c>
      <c r="B173" s="17">
        <v>45995</v>
      </c>
      <c r="C173" s="11" t="s">
        <v>164</v>
      </c>
      <c r="D173" s="11" t="s">
        <v>165</v>
      </c>
      <c r="E173" s="11" t="s">
        <v>12</v>
      </c>
      <c r="F173" s="11" t="s">
        <v>14</v>
      </c>
      <c r="G173" s="11" t="s">
        <v>16</v>
      </c>
      <c r="H173" s="11" t="s">
        <v>65</v>
      </c>
      <c r="I173" s="11" t="s">
        <v>201</v>
      </c>
      <c r="J173" s="11" t="s">
        <v>22</v>
      </c>
      <c r="K173" s="11" t="s">
        <v>159</v>
      </c>
      <c r="L173" s="11">
        <v>3</v>
      </c>
      <c r="M173" s="14">
        <v>931000</v>
      </c>
      <c r="N173" s="15">
        <v>0.1</v>
      </c>
      <c r="O173" s="14">
        <v>600000</v>
      </c>
      <c r="P173" s="11" t="s">
        <v>98</v>
      </c>
    </row>
    <row r="174" spans="1:16" x14ac:dyDescent="0.35">
      <c r="A174" s="11" t="s">
        <v>384</v>
      </c>
      <c r="B174" s="17">
        <v>45995</v>
      </c>
      <c r="C174" s="11" t="s">
        <v>175</v>
      </c>
      <c r="D174" s="11" t="s">
        <v>176</v>
      </c>
      <c r="E174" s="11" t="s">
        <v>12</v>
      </c>
      <c r="F174" s="11" t="s">
        <v>41</v>
      </c>
      <c r="G174" s="11" t="s">
        <v>80</v>
      </c>
      <c r="H174" s="11" t="s">
        <v>71</v>
      </c>
      <c r="I174" s="11" t="s">
        <v>81</v>
      </c>
      <c r="J174" s="11" t="s">
        <v>22</v>
      </c>
      <c r="K174" s="11" t="s">
        <v>57</v>
      </c>
      <c r="L174" s="11">
        <v>5</v>
      </c>
      <c r="M174" s="14">
        <v>357000</v>
      </c>
      <c r="N174" s="15">
        <v>0.1</v>
      </c>
      <c r="O174" s="14">
        <v>220000</v>
      </c>
      <c r="P174" s="11" t="s">
        <v>30</v>
      </c>
    </row>
    <row r="175" spans="1:16" x14ac:dyDescent="0.35">
      <c r="A175" s="11" t="s">
        <v>385</v>
      </c>
      <c r="B175" s="17">
        <v>45997</v>
      </c>
      <c r="C175" s="11" t="s">
        <v>222</v>
      </c>
      <c r="D175" s="11" t="s">
        <v>223</v>
      </c>
      <c r="E175" s="11" t="s">
        <v>40</v>
      </c>
      <c r="F175" s="11" t="s">
        <v>14</v>
      </c>
      <c r="G175" s="11" t="s">
        <v>70</v>
      </c>
      <c r="H175" s="11" t="s">
        <v>43</v>
      </c>
      <c r="I175" s="11" t="s">
        <v>44</v>
      </c>
      <c r="J175" s="11" t="s">
        <v>56</v>
      </c>
      <c r="K175" s="11" t="s">
        <v>82</v>
      </c>
      <c r="L175" s="11">
        <v>1</v>
      </c>
      <c r="M175" s="14">
        <v>560000</v>
      </c>
      <c r="N175" s="15">
        <v>0.05</v>
      </c>
      <c r="O175" s="14">
        <v>260000</v>
      </c>
      <c r="P175" s="11" t="s">
        <v>30</v>
      </c>
    </row>
    <row r="176" spans="1:16" x14ac:dyDescent="0.35">
      <c r="A176" s="11" t="s">
        <v>386</v>
      </c>
      <c r="B176" s="17">
        <v>45997</v>
      </c>
      <c r="C176" s="11" t="s">
        <v>146</v>
      </c>
      <c r="D176" s="11" t="s">
        <v>147</v>
      </c>
      <c r="E176" s="11" t="s">
        <v>40</v>
      </c>
      <c r="F176" s="11" t="s">
        <v>41</v>
      </c>
      <c r="G176" s="11" t="s">
        <v>80</v>
      </c>
      <c r="H176" s="11" t="s">
        <v>54</v>
      </c>
      <c r="I176" s="11" t="s">
        <v>131</v>
      </c>
      <c r="J176" s="18"/>
      <c r="K176" s="11" t="s">
        <v>49</v>
      </c>
      <c r="L176" s="11">
        <v>2</v>
      </c>
      <c r="M176" s="14">
        <v>656000</v>
      </c>
      <c r="N176" s="15">
        <v>0</v>
      </c>
      <c r="O176" s="14">
        <v>410000</v>
      </c>
      <c r="P176" s="11" t="s">
        <v>30</v>
      </c>
    </row>
    <row r="177" spans="1:16" x14ac:dyDescent="0.35">
      <c r="A177" s="11" t="s">
        <v>387</v>
      </c>
      <c r="B177" s="17">
        <v>45997</v>
      </c>
      <c r="C177" s="11" t="s">
        <v>95</v>
      </c>
      <c r="D177" s="11" t="s">
        <v>10</v>
      </c>
      <c r="E177" s="11" t="s">
        <v>12</v>
      </c>
      <c r="F177" s="11" t="s">
        <v>41</v>
      </c>
      <c r="G177" s="11" t="s">
        <v>42</v>
      </c>
      <c r="H177" s="11" t="s">
        <v>54</v>
      </c>
      <c r="I177" s="18" t="s">
        <v>388</v>
      </c>
      <c r="J177" s="11" t="s">
        <v>22</v>
      </c>
      <c r="K177" s="11" t="s">
        <v>57</v>
      </c>
      <c r="L177" s="11">
        <v>2</v>
      </c>
      <c r="M177" s="14">
        <v>472000</v>
      </c>
      <c r="N177" s="15">
        <v>0</v>
      </c>
      <c r="O177" s="14">
        <v>260000</v>
      </c>
      <c r="P177" s="11" t="s">
        <v>30</v>
      </c>
    </row>
    <row r="178" spans="1:16" x14ac:dyDescent="0.35">
      <c r="A178" s="11" t="s">
        <v>389</v>
      </c>
      <c r="B178" s="17">
        <v>45998</v>
      </c>
      <c r="C178" s="11" t="s">
        <v>271</v>
      </c>
      <c r="D178" s="11" t="s">
        <v>272</v>
      </c>
      <c r="E178" s="11" t="s">
        <v>40</v>
      </c>
      <c r="F178" s="11" t="s">
        <v>14</v>
      </c>
      <c r="G178" s="11" t="s">
        <v>135</v>
      </c>
      <c r="H178" s="11" t="s">
        <v>18</v>
      </c>
      <c r="I178" s="11" t="s">
        <v>120</v>
      </c>
      <c r="J178" s="11" t="s">
        <v>73</v>
      </c>
      <c r="K178" s="11" t="s">
        <v>106</v>
      </c>
      <c r="L178" s="11">
        <v>1</v>
      </c>
      <c r="M178" s="14">
        <v>280000</v>
      </c>
      <c r="N178" s="15">
        <v>0</v>
      </c>
      <c r="O178" s="14">
        <v>130000</v>
      </c>
      <c r="P178" s="11" t="s">
        <v>58</v>
      </c>
    </row>
    <row r="179" spans="1:16" x14ac:dyDescent="0.35">
      <c r="A179" s="11" t="s">
        <v>390</v>
      </c>
      <c r="B179" s="17">
        <v>45998</v>
      </c>
      <c r="C179" s="11" t="s">
        <v>185</v>
      </c>
      <c r="D179" s="11" t="s">
        <v>186</v>
      </c>
      <c r="E179" s="11" t="s">
        <v>40</v>
      </c>
      <c r="F179" s="11" t="s">
        <v>41</v>
      </c>
      <c r="G179" s="11" t="s">
        <v>42</v>
      </c>
      <c r="H179" s="11" t="s">
        <v>65</v>
      </c>
      <c r="I179" s="11" t="s">
        <v>262</v>
      </c>
      <c r="J179" s="11" t="s">
        <v>56</v>
      </c>
      <c r="K179" s="11" t="s">
        <v>57</v>
      </c>
      <c r="L179" s="11">
        <v>2</v>
      </c>
      <c r="M179" s="14">
        <v>2400000</v>
      </c>
      <c r="N179" s="15">
        <v>0.2</v>
      </c>
      <c r="O179" s="14">
        <v>1550000</v>
      </c>
      <c r="P179" s="11" t="s">
        <v>30</v>
      </c>
    </row>
    <row r="180" spans="1:16" x14ac:dyDescent="0.35">
      <c r="A180" s="22" t="s">
        <v>389</v>
      </c>
      <c r="B180" s="23">
        <v>45998</v>
      </c>
      <c r="C180" s="22" t="s">
        <v>271</v>
      </c>
      <c r="D180" s="22" t="s">
        <v>272</v>
      </c>
      <c r="E180" s="22" t="s">
        <v>40</v>
      </c>
      <c r="F180" s="22" t="s">
        <v>14</v>
      </c>
      <c r="G180" s="22" t="s">
        <v>135</v>
      </c>
      <c r="H180" s="22" t="s">
        <v>18</v>
      </c>
      <c r="I180" s="22" t="s">
        <v>120</v>
      </c>
      <c r="J180" s="22" t="s">
        <v>73</v>
      </c>
      <c r="K180" s="22" t="s">
        <v>106</v>
      </c>
      <c r="L180" s="22">
        <v>1</v>
      </c>
      <c r="M180" s="24">
        <v>280000</v>
      </c>
      <c r="N180" s="25">
        <v>0</v>
      </c>
      <c r="O180" s="24">
        <v>130000</v>
      </c>
      <c r="P180" s="22" t="s">
        <v>58</v>
      </c>
    </row>
    <row r="181" spans="1:16" x14ac:dyDescent="0.35">
      <c r="A181" s="11" t="s">
        <v>391</v>
      </c>
      <c r="B181" s="17">
        <v>45999</v>
      </c>
      <c r="C181" s="11" t="s">
        <v>133</v>
      </c>
      <c r="D181" s="11" t="s">
        <v>134</v>
      </c>
      <c r="E181" s="11" t="s">
        <v>40</v>
      </c>
      <c r="F181" s="11" t="s">
        <v>14</v>
      </c>
      <c r="G181" s="11" t="s">
        <v>135</v>
      </c>
      <c r="H181" s="11" t="s">
        <v>18</v>
      </c>
      <c r="I181" s="11" t="s">
        <v>93</v>
      </c>
      <c r="J181" s="11" t="s">
        <v>56</v>
      </c>
      <c r="K181" s="11" t="s">
        <v>159</v>
      </c>
      <c r="L181" s="11">
        <v>1</v>
      </c>
      <c r="M181" s="14">
        <v>1425000</v>
      </c>
      <c r="N181" s="15">
        <v>0.1</v>
      </c>
      <c r="O181" s="14">
        <v>800000</v>
      </c>
      <c r="P181" s="11" t="s">
        <v>30</v>
      </c>
    </row>
    <row r="182" spans="1:16" x14ac:dyDescent="0.35">
      <c r="A182" s="11" t="s">
        <v>392</v>
      </c>
      <c r="B182" s="17">
        <v>46001</v>
      </c>
      <c r="C182" s="11" t="s">
        <v>142</v>
      </c>
      <c r="D182" s="11" t="s">
        <v>143</v>
      </c>
      <c r="E182" s="11" t="s">
        <v>12</v>
      </c>
      <c r="F182" s="11" t="s">
        <v>41</v>
      </c>
      <c r="G182" s="11" t="s">
        <v>42</v>
      </c>
      <c r="H182" s="11" t="s">
        <v>65</v>
      </c>
      <c r="I182" s="11" t="s">
        <v>66</v>
      </c>
      <c r="J182" s="11" t="s">
        <v>22</v>
      </c>
      <c r="K182" s="11" t="s">
        <v>106</v>
      </c>
      <c r="L182" s="11">
        <v>2</v>
      </c>
      <c r="M182" s="14">
        <v>520000</v>
      </c>
      <c r="N182" s="15">
        <v>0.2</v>
      </c>
      <c r="O182" s="14">
        <v>310000</v>
      </c>
      <c r="P182" s="11" t="s">
        <v>30</v>
      </c>
    </row>
    <row r="183" spans="1:16" x14ac:dyDescent="0.35">
      <c r="A183" s="11" t="s">
        <v>393</v>
      </c>
      <c r="B183" s="17">
        <v>46002</v>
      </c>
      <c r="C183" s="11" t="s">
        <v>312</v>
      </c>
      <c r="D183" s="11" t="s">
        <v>313</v>
      </c>
      <c r="E183" s="11" t="s">
        <v>12</v>
      </c>
      <c r="F183" s="11" t="s">
        <v>14</v>
      </c>
      <c r="G183" s="11" t="s">
        <v>135</v>
      </c>
      <c r="H183" s="11" t="s">
        <v>18</v>
      </c>
      <c r="I183" s="11" t="s">
        <v>20</v>
      </c>
      <c r="J183" s="11" t="s">
        <v>73</v>
      </c>
      <c r="K183" s="11" t="s">
        <v>49</v>
      </c>
      <c r="L183" s="11">
        <v>10</v>
      </c>
      <c r="M183" s="14">
        <v>1200000</v>
      </c>
      <c r="N183" s="15">
        <v>0</v>
      </c>
      <c r="O183" s="14">
        <v>620000</v>
      </c>
      <c r="P183" s="11" t="s">
        <v>30</v>
      </c>
    </row>
    <row r="184" spans="1:16" x14ac:dyDescent="0.35">
      <c r="A184" s="11" t="s">
        <v>394</v>
      </c>
      <c r="B184" s="17">
        <v>46005</v>
      </c>
      <c r="C184" s="11" t="s">
        <v>222</v>
      </c>
      <c r="D184" s="11" t="s">
        <v>223</v>
      </c>
      <c r="E184" s="11" t="s">
        <v>40</v>
      </c>
      <c r="F184" s="11" t="s">
        <v>14</v>
      </c>
      <c r="G184" s="11" t="s">
        <v>70</v>
      </c>
      <c r="H184" s="11" t="s">
        <v>65</v>
      </c>
      <c r="I184" s="11" t="s">
        <v>201</v>
      </c>
      <c r="J184" s="11" t="s">
        <v>56</v>
      </c>
      <c r="K184" s="18"/>
      <c r="L184" s="11">
        <v>1</v>
      </c>
      <c r="M184" s="14">
        <v>980000</v>
      </c>
      <c r="N184" s="15">
        <v>0.05</v>
      </c>
      <c r="O184" s="14">
        <v>600000</v>
      </c>
      <c r="P184" s="11" t="s">
        <v>98</v>
      </c>
    </row>
    <row r="185" spans="1:16" x14ac:dyDescent="0.35">
      <c r="A185" s="11" t="s">
        <v>395</v>
      </c>
      <c r="B185" s="17">
        <v>46007</v>
      </c>
      <c r="C185" s="11" t="s">
        <v>100</v>
      </c>
      <c r="D185" s="11" t="s">
        <v>101</v>
      </c>
      <c r="E185" s="11" t="s">
        <v>40</v>
      </c>
      <c r="F185" s="18" t="s">
        <v>155</v>
      </c>
      <c r="G185" s="11" t="s">
        <v>16</v>
      </c>
      <c r="H185" s="11" t="s">
        <v>18</v>
      </c>
      <c r="I185" s="11" t="s">
        <v>93</v>
      </c>
      <c r="J185" s="11" t="s">
        <v>56</v>
      </c>
      <c r="K185" s="11" t="s">
        <v>88</v>
      </c>
      <c r="L185" s="11">
        <v>2</v>
      </c>
      <c r="M185" s="14">
        <v>1425000</v>
      </c>
      <c r="N185" s="15">
        <v>0.1</v>
      </c>
      <c r="O185" s="14">
        <v>800000</v>
      </c>
      <c r="P185" s="11" t="s">
        <v>30</v>
      </c>
    </row>
    <row r="186" spans="1:16" x14ac:dyDescent="0.35">
      <c r="A186" s="11" t="s">
        <v>396</v>
      </c>
      <c r="B186" s="17">
        <v>46008</v>
      </c>
      <c r="C186" s="11" t="s">
        <v>193</v>
      </c>
      <c r="D186" s="11" t="s">
        <v>194</v>
      </c>
      <c r="E186" s="11" t="s">
        <v>12</v>
      </c>
      <c r="F186" s="11" t="s">
        <v>14</v>
      </c>
      <c r="G186" s="11" t="s">
        <v>70</v>
      </c>
      <c r="H186" s="11" t="s">
        <v>71</v>
      </c>
      <c r="I186" s="11" t="s">
        <v>87</v>
      </c>
      <c r="J186" s="11" t="s">
        <v>73</v>
      </c>
      <c r="K186" s="11" t="s">
        <v>88</v>
      </c>
      <c r="L186" s="11">
        <v>6</v>
      </c>
      <c r="M186" s="14">
        <v>380000</v>
      </c>
      <c r="N186" s="15">
        <v>0.05</v>
      </c>
      <c r="O186" s="14">
        <v>250000</v>
      </c>
      <c r="P186" s="11" t="s">
        <v>30</v>
      </c>
    </row>
    <row r="187" spans="1:16" x14ac:dyDescent="0.35">
      <c r="A187" s="11" t="s">
        <v>397</v>
      </c>
      <c r="B187" s="17">
        <v>46008</v>
      </c>
      <c r="C187" s="11" t="s">
        <v>68</v>
      </c>
      <c r="D187" s="11" t="s">
        <v>69</v>
      </c>
      <c r="E187" s="11" t="s">
        <v>40</v>
      </c>
      <c r="F187" s="11" t="s">
        <v>14</v>
      </c>
      <c r="G187" s="11" t="s">
        <v>70</v>
      </c>
      <c r="H187" s="11" t="s">
        <v>65</v>
      </c>
      <c r="I187" s="11" t="s">
        <v>140</v>
      </c>
      <c r="J187" s="11" t="s">
        <v>56</v>
      </c>
      <c r="K187" s="11" t="s">
        <v>106</v>
      </c>
      <c r="L187" s="11">
        <v>1</v>
      </c>
      <c r="M187" s="14">
        <v>1600000</v>
      </c>
      <c r="N187" s="15">
        <v>0</v>
      </c>
      <c r="O187" s="14">
        <v>1000000</v>
      </c>
      <c r="P187" s="11" t="s">
        <v>30</v>
      </c>
    </row>
    <row r="188" spans="1:16" x14ac:dyDescent="0.35">
      <c r="A188" s="11" t="s">
        <v>398</v>
      </c>
      <c r="B188" s="17">
        <v>46008</v>
      </c>
      <c r="C188" s="11" t="s">
        <v>226</v>
      </c>
      <c r="D188" s="11" t="s">
        <v>227</v>
      </c>
      <c r="E188" s="11" t="s">
        <v>40</v>
      </c>
      <c r="F188" s="11" t="s">
        <v>41</v>
      </c>
      <c r="G188" s="11" t="s">
        <v>42</v>
      </c>
      <c r="H188" s="11" t="s">
        <v>43</v>
      </c>
      <c r="I188" s="11" t="s">
        <v>127</v>
      </c>
      <c r="J188" s="11" t="s">
        <v>22</v>
      </c>
      <c r="K188" s="11" t="s">
        <v>82</v>
      </c>
      <c r="L188" s="11">
        <v>1</v>
      </c>
      <c r="M188" s="14">
        <v>320000</v>
      </c>
      <c r="N188" s="15">
        <v>0.05</v>
      </c>
      <c r="O188" s="14">
        <v>150000</v>
      </c>
      <c r="P188" s="11" t="s">
        <v>30</v>
      </c>
    </row>
    <row r="189" spans="1:16" x14ac:dyDescent="0.35">
      <c r="A189" s="11" t="s">
        <v>399</v>
      </c>
      <c r="B189" s="17">
        <v>46009</v>
      </c>
      <c r="C189" s="11" t="s">
        <v>8</v>
      </c>
      <c r="D189" s="11" t="s">
        <v>129</v>
      </c>
      <c r="E189" s="11" t="s">
        <v>40</v>
      </c>
      <c r="F189" s="11" t="s">
        <v>63</v>
      </c>
      <c r="G189" s="11" t="s">
        <v>130</v>
      </c>
      <c r="H189" s="11" t="s">
        <v>18</v>
      </c>
      <c r="I189" s="11" t="s">
        <v>120</v>
      </c>
      <c r="J189" s="11" t="s">
        <v>22</v>
      </c>
      <c r="K189" s="11" t="s">
        <v>88</v>
      </c>
      <c r="L189" s="11">
        <v>1</v>
      </c>
      <c r="M189" s="14">
        <v>280000</v>
      </c>
      <c r="N189" s="15">
        <v>0</v>
      </c>
      <c r="O189" s="14">
        <v>130000</v>
      </c>
      <c r="P189" s="11" t="s">
        <v>30</v>
      </c>
    </row>
    <row r="190" spans="1:16" x14ac:dyDescent="0.35">
      <c r="A190" s="11" t="s">
        <v>400</v>
      </c>
      <c r="B190" s="17">
        <v>46009</v>
      </c>
      <c r="C190" s="11" t="s">
        <v>317</v>
      </c>
      <c r="D190" s="11" t="s">
        <v>318</v>
      </c>
      <c r="E190" s="11" t="s">
        <v>40</v>
      </c>
      <c r="F190" s="11" t="s">
        <v>41</v>
      </c>
      <c r="G190" s="11" t="s">
        <v>80</v>
      </c>
      <c r="H190" s="11" t="s">
        <v>18</v>
      </c>
      <c r="I190" s="11" t="s">
        <v>93</v>
      </c>
      <c r="J190" s="11" t="s">
        <v>73</v>
      </c>
      <c r="K190" s="11" t="s">
        <v>24</v>
      </c>
      <c r="L190" s="11">
        <v>2</v>
      </c>
      <c r="M190" s="14">
        <v>1500000</v>
      </c>
      <c r="N190" s="15">
        <v>0</v>
      </c>
      <c r="O190" s="14">
        <v>800000</v>
      </c>
      <c r="P190" s="11" t="s">
        <v>30</v>
      </c>
    </row>
    <row r="191" spans="1:16" x14ac:dyDescent="0.35">
      <c r="A191" s="11" t="s">
        <v>401</v>
      </c>
      <c r="B191" s="17">
        <v>46010</v>
      </c>
      <c r="C191" s="11" t="s">
        <v>402</v>
      </c>
      <c r="D191" s="11" t="s">
        <v>403</v>
      </c>
      <c r="E191" s="11" t="s">
        <v>40</v>
      </c>
      <c r="F191" s="11" t="s">
        <v>41</v>
      </c>
      <c r="G191" s="11" t="s">
        <v>86</v>
      </c>
      <c r="H191" s="11" t="s">
        <v>18</v>
      </c>
      <c r="I191" s="11" t="s">
        <v>96</v>
      </c>
      <c r="J191" s="11" t="s">
        <v>56</v>
      </c>
      <c r="K191" s="11" t="s">
        <v>24</v>
      </c>
      <c r="L191" s="11">
        <v>3</v>
      </c>
      <c r="M191" s="14">
        <v>750000</v>
      </c>
      <c r="N191" s="15">
        <v>0</v>
      </c>
      <c r="O191" s="14">
        <v>390000</v>
      </c>
      <c r="P191" s="11" t="s">
        <v>30</v>
      </c>
    </row>
    <row r="192" spans="1:16" x14ac:dyDescent="0.35">
      <c r="A192" s="11" t="s">
        <v>404</v>
      </c>
      <c r="B192" s="17">
        <v>46010</v>
      </c>
      <c r="C192" s="11" t="s">
        <v>118</v>
      </c>
      <c r="D192" s="11" t="s">
        <v>119</v>
      </c>
      <c r="E192" s="11" t="s">
        <v>40</v>
      </c>
      <c r="F192" s="11" t="s">
        <v>14</v>
      </c>
      <c r="G192" s="11" t="s">
        <v>16</v>
      </c>
      <c r="H192" s="11" t="s">
        <v>18</v>
      </c>
      <c r="I192" s="11" t="s">
        <v>120</v>
      </c>
      <c r="J192" s="11" t="s">
        <v>22</v>
      </c>
      <c r="K192" s="11" t="s">
        <v>106</v>
      </c>
      <c r="L192" s="11">
        <v>3</v>
      </c>
      <c r="M192" s="14">
        <v>294000</v>
      </c>
      <c r="N192" s="15">
        <v>0.2</v>
      </c>
      <c r="O192" s="14">
        <v>130000</v>
      </c>
      <c r="P192" s="11" t="s">
        <v>30</v>
      </c>
    </row>
    <row r="193" spans="1:16" x14ac:dyDescent="0.35">
      <c r="A193" s="11" t="s">
        <v>405</v>
      </c>
      <c r="B193" s="17">
        <v>46011</v>
      </c>
      <c r="C193" s="11" t="s">
        <v>292</v>
      </c>
      <c r="D193" s="11" t="s">
        <v>293</v>
      </c>
      <c r="E193" s="11" t="s">
        <v>40</v>
      </c>
      <c r="F193" s="11" t="s">
        <v>14</v>
      </c>
      <c r="G193" s="11" t="s">
        <v>70</v>
      </c>
      <c r="H193" s="11" t="s">
        <v>18</v>
      </c>
      <c r="I193" s="11" t="s">
        <v>96</v>
      </c>
      <c r="J193" s="11" t="s">
        <v>56</v>
      </c>
      <c r="K193" s="11" t="s">
        <v>57</v>
      </c>
      <c r="L193" s="11">
        <v>1</v>
      </c>
      <c r="M193" s="14">
        <v>750000</v>
      </c>
      <c r="N193" s="15">
        <v>0.1</v>
      </c>
      <c r="O193" s="14">
        <v>390000</v>
      </c>
      <c r="P193" s="11" t="s">
        <v>98</v>
      </c>
    </row>
    <row r="194" spans="1:16" x14ac:dyDescent="0.35">
      <c r="A194" s="11" t="s">
        <v>406</v>
      </c>
      <c r="B194" s="17">
        <v>46012</v>
      </c>
      <c r="C194" s="11" t="s">
        <v>341</v>
      </c>
      <c r="D194" s="11" t="s">
        <v>342</v>
      </c>
      <c r="E194" s="11" t="s">
        <v>40</v>
      </c>
      <c r="F194" s="18" t="s">
        <v>407</v>
      </c>
      <c r="G194" s="11" t="s">
        <v>16</v>
      </c>
      <c r="H194" s="11" t="s">
        <v>54</v>
      </c>
      <c r="I194" s="11" t="s">
        <v>75</v>
      </c>
      <c r="J194" s="11" t="s">
        <v>97</v>
      </c>
      <c r="K194" s="11" t="s">
        <v>106</v>
      </c>
      <c r="L194" s="11">
        <v>1</v>
      </c>
      <c r="M194" s="14">
        <v>1995000</v>
      </c>
      <c r="N194" s="15">
        <v>0</v>
      </c>
      <c r="O194" s="14">
        <v>1200000</v>
      </c>
      <c r="P194" s="11" t="s">
        <v>58</v>
      </c>
    </row>
    <row r="195" spans="1:16" x14ac:dyDescent="0.35">
      <c r="A195" s="11" t="s">
        <v>408</v>
      </c>
      <c r="B195" s="17">
        <v>46012</v>
      </c>
      <c r="C195" s="11" t="s">
        <v>146</v>
      </c>
      <c r="D195" s="11" t="s">
        <v>147</v>
      </c>
      <c r="E195" s="11" t="s">
        <v>40</v>
      </c>
      <c r="F195" s="11" t="s">
        <v>41</v>
      </c>
      <c r="G195" s="11" t="s">
        <v>80</v>
      </c>
      <c r="H195" s="11" t="s">
        <v>65</v>
      </c>
      <c r="I195" s="11" t="s">
        <v>201</v>
      </c>
      <c r="J195" s="11" t="s">
        <v>73</v>
      </c>
      <c r="K195" s="11" t="s">
        <v>159</v>
      </c>
      <c r="L195" s="11">
        <v>1</v>
      </c>
      <c r="M195" s="14">
        <v>980000</v>
      </c>
      <c r="N195" s="15">
        <v>0.1</v>
      </c>
      <c r="O195" s="14">
        <v>600000</v>
      </c>
      <c r="P195" s="11" t="s">
        <v>30</v>
      </c>
    </row>
    <row r="196" spans="1:16" x14ac:dyDescent="0.35">
      <c r="A196" s="11" t="s">
        <v>409</v>
      </c>
      <c r="B196" s="17">
        <v>46012</v>
      </c>
      <c r="C196" s="11" t="s">
        <v>167</v>
      </c>
      <c r="D196" s="11" t="s">
        <v>168</v>
      </c>
      <c r="E196" s="11" t="s">
        <v>40</v>
      </c>
      <c r="F196" s="11" t="s">
        <v>63</v>
      </c>
      <c r="G196" s="11" t="s">
        <v>92</v>
      </c>
      <c r="H196" s="11" t="s">
        <v>18</v>
      </c>
      <c r="I196" s="11" t="s">
        <v>96</v>
      </c>
      <c r="J196" s="11" t="s">
        <v>56</v>
      </c>
      <c r="K196" s="11" t="s">
        <v>24</v>
      </c>
      <c r="L196" s="11">
        <v>4</v>
      </c>
      <c r="M196" s="14">
        <v>750000</v>
      </c>
      <c r="N196" s="15">
        <v>0.15</v>
      </c>
      <c r="O196" s="14">
        <v>390000</v>
      </c>
      <c r="P196" s="11" t="s">
        <v>30</v>
      </c>
    </row>
    <row r="197" spans="1:16" x14ac:dyDescent="0.35">
      <c r="A197" s="11" t="s">
        <v>410</v>
      </c>
      <c r="B197" s="17">
        <v>46013</v>
      </c>
      <c r="C197" s="11" t="s">
        <v>103</v>
      </c>
      <c r="D197" s="11" t="s">
        <v>104</v>
      </c>
      <c r="E197" s="11" t="s">
        <v>40</v>
      </c>
      <c r="F197" s="18" t="s">
        <v>155</v>
      </c>
      <c r="G197" s="11" t="s">
        <v>105</v>
      </c>
      <c r="H197" s="11" t="s">
        <v>54</v>
      </c>
      <c r="I197" s="11" t="s">
        <v>136</v>
      </c>
      <c r="J197" s="11" t="s">
        <v>22</v>
      </c>
      <c r="K197" s="11" t="s">
        <v>49</v>
      </c>
      <c r="L197" s="11">
        <v>2</v>
      </c>
      <c r="M197" s="14">
        <v>1260000</v>
      </c>
      <c r="N197" s="15">
        <v>0.1</v>
      </c>
      <c r="O197" s="14">
        <v>720000</v>
      </c>
      <c r="P197" s="11" t="s">
        <v>30</v>
      </c>
    </row>
    <row r="198" spans="1:16" x14ac:dyDescent="0.35">
      <c r="A198" s="22" t="s">
        <v>347</v>
      </c>
      <c r="B198" s="23">
        <v>45941</v>
      </c>
      <c r="C198" s="22" t="s">
        <v>110</v>
      </c>
      <c r="D198" s="22" t="s">
        <v>111</v>
      </c>
      <c r="E198" s="22" t="s">
        <v>12</v>
      </c>
      <c r="F198" s="22" t="s">
        <v>14</v>
      </c>
      <c r="G198" s="22" t="s">
        <v>70</v>
      </c>
      <c r="H198" s="22" t="s">
        <v>18</v>
      </c>
      <c r="I198" s="22" t="s">
        <v>96</v>
      </c>
      <c r="J198" s="22" t="s">
        <v>22</v>
      </c>
      <c r="K198" s="22" t="s">
        <v>76</v>
      </c>
      <c r="L198" s="22">
        <v>5</v>
      </c>
      <c r="M198" s="24">
        <v>750000</v>
      </c>
      <c r="N198" s="25">
        <v>0.2</v>
      </c>
      <c r="O198" s="24">
        <v>390000</v>
      </c>
      <c r="P198" s="22" t="s">
        <v>30</v>
      </c>
    </row>
    <row r="199" spans="1:16" x14ac:dyDescent="0.35">
      <c r="A199" s="22" t="s">
        <v>371</v>
      </c>
      <c r="B199" s="23">
        <v>45981</v>
      </c>
      <c r="C199" s="22" t="s">
        <v>196</v>
      </c>
      <c r="D199" s="22" t="s">
        <v>197</v>
      </c>
      <c r="E199" s="22" t="s">
        <v>40</v>
      </c>
      <c r="F199" s="22" t="s">
        <v>41</v>
      </c>
      <c r="G199" s="22" t="s">
        <v>42</v>
      </c>
      <c r="H199" s="22" t="s">
        <v>65</v>
      </c>
      <c r="I199" s="22" t="s">
        <v>262</v>
      </c>
      <c r="J199" s="22" t="s">
        <v>22</v>
      </c>
      <c r="K199" s="22" t="s">
        <v>159</v>
      </c>
      <c r="L199" s="22">
        <v>1</v>
      </c>
      <c r="M199" s="24">
        <v>2520000</v>
      </c>
      <c r="N199" s="25">
        <v>0.1</v>
      </c>
      <c r="O199" s="24">
        <v>1550000</v>
      </c>
      <c r="P199" s="22" t="s">
        <v>30</v>
      </c>
    </row>
    <row r="200" spans="1:16" x14ac:dyDescent="0.35">
      <c r="A200" s="11" t="s">
        <v>411</v>
      </c>
      <c r="B200" s="17">
        <v>46015</v>
      </c>
      <c r="C200" s="11" t="s">
        <v>412</v>
      </c>
      <c r="D200" s="11" t="s">
        <v>413</v>
      </c>
      <c r="E200" s="11" t="s">
        <v>40</v>
      </c>
      <c r="F200" s="18" t="s">
        <v>414</v>
      </c>
      <c r="G200" s="11" t="s">
        <v>130</v>
      </c>
      <c r="H200" s="11" t="s">
        <v>65</v>
      </c>
      <c r="I200" s="11" t="s">
        <v>140</v>
      </c>
      <c r="J200" s="11" t="s">
        <v>73</v>
      </c>
      <c r="K200" s="11" t="s">
        <v>106</v>
      </c>
      <c r="L200" s="11">
        <v>1</v>
      </c>
      <c r="M200" s="14">
        <v>1600000</v>
      </c>
      <c r="N200" s="15">
        <v>0</v>
      </c>
      <c r="O200" s="14">
        <v>1000000</v>
      </c>
      <c r="P200" s="11" t="s">
        <v>30</v>
      </c>
    </row>
    <row r="201" spans="1:16" x14ac:dyDescent="0.35">
      <c r="A201" s="11" t="s">
        <v>415</v>
      </c>
      <c r="B201" s="17">
        <v>46016</v>
      </c>
      <c r="C201" s="11" t="s">
        <v>271</v>
      </c>
      <c r="D201" s="11" t="s">
        <v>272</v>
      </c>
      <c r="E201" s="11" t="s">
        <v>40</v>
      </c>
      <c r="F201" s="11" t="s">
        <v>14</v>
      </c>
      <c r="G201" s="11" t="s">
        <v>135</v>
      </c>
      <c r="H201" s="11" t="s">
        <v>54</v>
      </c>
      <c r="I201" s="11" t="s">
        <v>55</v>
      </c>
      <c r="J201" s="11" t="s">
        <v>56</v>
      </c>
      <c r="K201" s="11" t="s">
        <v>76</v>
      </c>
      <c r="L201" s="11">
        <v>1</v>
      </c>
      <c r="M201" s="14">
        <v>850000</v>
      </c>
      <c r="N201" s="15">
        <v>0.1</v>
      </c>
      <c r="O201" s="14">
        <v>520000</v>
      </c>
      <c r="P201" s="11" t="s">
        <v>30</v>
      </c>
    </row>
    <row r="202" spans="1:16" x14ac:dyDescent="0.35">
      <c r="A202" s="11" t="s">
        <v>416</v>
      </c>
      <c r="B202" s="17">
        <v>46017</v>
      </c>
      <c r="C202" s="11" t="s">
        <v>266</v>
      </c>
      <c r="D202" s="11" t="s">
        <v>267</v>
      </c>
      <c r="E202" s="11" t="s">
        <v>40</v>
      </c>
      <c r="F202" s="11" t="s">
        <v>41</v>
      </c>
      <c r="G202" s="11" t="s">
        <v>86</v>
      </c>
      <c r="H202" s="11" t="s">
        <v>43</v>
      </c>
      <c r="I202" s="11" t="s">
        <v>48</v>
      </c>
      <c r="J202" s="11" t="s">
        <v>73</v>
      </c>
      <c r="K202" s="11" t="s">
        <v>88</v>
      </c>
      <c r="L202" s="11">
        <v>2</v>
      </c>
      <c r="M202" s="14">
        <v>304000</v>
      </c>
      <c r="N202" s="15">
        <v>0</v>
      </c>
      <c r="O202" s="14">
        <v>120000</v>
      </c>
      <c r="P202" s="11" t="s">
        <v>30</v>
      </c>
    </row>
    <row r="203" spans="1:16" x14ac:dyDescent="0.35">
      <c r="A203" s="11" t="s">
        <v>417</v>
      </c>
      <c r="B203" s="17">
        <v>46018</v>
      </c>
      <c r="C203" s="11" t="s">
        <v>171</v>
      </c>
      <c r="D203" s="11" t="s">
        <v>172</v>
      </c>
      <c r="E203" s="11" t="s">
        <v>12</v>
      </c>
      <c r="F203" s="11" t="s">
        <v>41</v>
      </c>
      <c r="G203" s="11" t="s">
        <v>173</v>
      </c>
      <c r="H203" s="11" t="s">
        <v>65</v>
      </c>
      <c r="I203" s="11" t="s">
        <v>66</v>
      </c>
      <c r="J203" s="11" t="s">
        <v>22</v>
      </c>
      <c r="K203" s="11" t="s">
        <v>159</v>
      </c>
      <c r="L203" s="11">
        <v>2</v>
      </c>
      <c r="M203" s="14">
        <v>520000</v>
      </c>
      <c r="N203" s="15">
        <v>0.05</v>
      </c>
      <c r="O203" s="14">
        <v>310000</v>
      </c>
      <c r="P203" s="11" t="s">
        <v>30</v>
      </c>
    </row>
    <row r="204" spans="1:16" x14ac:dyDescent="0.35">
      <c r="A204" s="11" t="s">
        <v>418</v>
      </c>
      <c r="B204" s="17">
        <v>46020</v>
      </c>
      <c r="C204" s="11" t="s">
        <v>152</v>
      </c>
      <c r="D204" s="11" t="s">
        <v>153</v>
      </c>
      <c r="E204" s="11" t="s">
        <v>40</v>
      </c>
      <c r="F204" s="11" t="s">
        <v>41</v>
      </c>
      <c r="G204" s="11" t="s">
        <v>80</v>
      </c>
      <c r="H204" s="11" t="s">
        <v>54</v>
      </c>
      <c r="I204" s="11" t="s">
        <v>136</v>
      </c>
      <c r="J204" s="11" t="s">
        <v>56</v>
      </c>
      <c r="K204" s="11" t="s">
        <v>49</v>
      </c>
      <c r="L204" s="11">
        <v>2</v>
      </c>
      <c r="M204" s="14">
        <v>1200000</v>
      </c>
      <c r="N204" s="15">
        <v>0.2</v>
      </c>
      <c r="O204" s="14">
        <v>720000</v>
      </c>
      <c r="P204" s="11" t="s">
        <v>30</v>
      </c>
    </row>
    <row r="205" spans="1:16" x14ac:dyDescent="0.35">
      <c r="A205" s="11" t="s">
        <v>419</v>
      </c>
      <c r="B205" s="17">
        <v>46020</v>
      </c>
      <c r="C205" s="11" t="s">
        <v>38</v>
      </c>
      <c r="D205" s="11" t="s">
        <v>39</v>
      </c>
      <c r="E205" s="11" t="s">
        <v>40</v>
      </c>
      <c r="F205" s="11" t="s">
        <v>41</v>
      </c>
      <c r="G205" s="11" t="s">
        <v>42</v>
      </c>
      <c r="H205" s="11" t="s">
        <v>54</v>
      </c>
      <c r="I205" s="11" t="s">
        <v>220</v>
      </c>
      <c r="J205" s="11" t="s">
        <v>73</v>
      </c>
      <c r="K205" s="18"/>
      <c r="L205" s="11">
        <v>1</v>
      </c>
      <c r="M205" s="14">
        <v>472000</v>
      </c>
      <c r="N205" s="15">
        <v>0</v>
      </c>
      <c r="O205" s="14">
        <v>260000</v>
      </c>
      <c r="P205" s="11" t="s">
        <v>30</v>
      </c>
    </row>
    <row r="206" spans="1:16" x14ac:dyDescent="0.35">
      <c r="A206" s="22" t="s">
        <v>418</v>
      </c>
      <c r="B206" s="23">
        <v>46020</v>
      </c>
      <c r="C206" s="22" t="s">
        <v>152</v>
      </c>
      <c r="D206" s="22" t="s">
        <v>153</v>
      </c>
      <c r="E206" s="22" t="s">
        <v>40</v>
      </c>
      <c r="F206" s="22" t="s">
        <v>41</v>
      </c>
      <c r="G206" s="22" t="s">
        <v>80</v>
      </c>
      <c r="H206" s="22" t="s">
        <v>54</v>
      </c>
      <c r="I206" s="22" t="s">
        <v>136</v>
      </c>
      <c r="J206" s="22" t="s">
        <v>56</v>
      </c>
      <c r="K206" s="22" t="s">
        <v>49</v>
      </c>
      <c r="L206" s="22">
        <v>2</v>
      </c>
      <c r="M206" s="24">
        <v>1200000</v>
      </c>
      <c r="N206" s="25">
        <v>0.2</v>
      </c>
      <c r="O206" s="24">
        <v>720000</v>
      </c>
      <c r="P206" s="22" t="s">
        <v>30</v>
      </c>
    </row>
    <row r="207" spans="1:16" x14ac:dyDescent="0.35">
      <c r="A207" s="11" t="s">
        <v>420</v>
      </c>
      <c r="B207" s="13" t="s">
        <v>421</v>
      </c>
      <c r="C207" s="11" t="s">
        <v>422</v>
      </c>
      <c r="D207" s="11" t="s">
        <v>423</v>
      </c>
      <c r="E207" s="11" t="s">
        <v>12</v>
      </c>
      <c r="F207" s="11" t="s">
        <v>41</v>
      </c>
      <c r="G207" s="11" t="s">
        <v>86</v>
      </c>
      <c r="H207" s="11" t="s">
        <v>54</v>
      </c>
      <c r="I207" s="11" t="s">
        <v>136</v>
      </c>
      <c r="J207" s="11" t="s">
        <v>22</v>
      </c>
      <c r="K207" s="11" t="s">
        <v>49</v>
      </c>
      <c r="L207" s="11">
        <v>5</v>
      </c>
      <c r="M207" s="14">
        <v>1260000</v>
      </c>
      <c r="N207" s="15">
        <v>0.1</v>
      </c>
      <c r="O207" s="14">
        <v>720000</v>
      </c>
      <c r="P207" s="11" t="s">
        <v>30</v>
      </c>
    </row>
  </sheetData>
  <autoFilter ref="A1:P207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F42"/>
  <sheetViews>
    <sheetView showGridLines="0" topLeftCell="A20" zoomScaleNormal="100" workbookViewId="0">
      <selection activeCell="A3" sqref="A3"/>
    </sheetView>
  </sheetViews>
  <sheetFormatPr defaultColWidth="8.6328125" defaultRowHeight="14.5" x14ac:dyDescent="0.35"/>
  <cols>
    <col min="1" max="1" width="7" customWidth="1"/>
    <col min="2" max="2" width="48" customWidth="1"/>
    <col min="3" max="4" width="18" customWidth="1"/>
    <col min="5" max="5" width="62" customWidth="1"/>
    <col min="6" max="6" width="12" customWidth="1"/>
  </cols>
  <sheetData>
    <row r="1" spans="1:6" ht="31.5" customHeight="1" x14ac:dyDescent="0.35">
      <c r="A1" s="7"/>
      <c r="B1" s="7"/>
      <c r="C1" s="7"/>
      <c r="D1" s="7"/>
      <c r="E1" s="7"/>
      <c r="F1" s="7"/>
    </row>
    <row r="2" spans="1:6" ht="30" customHeight="1" x14ac:dyDescent="0.35">
      <c r="A2" s="6"/>
      <c r="B2" s="6"/>
      <c r="C2" s="6"/>
      <c r="D2" s="6"/>
      <c r="E2" s="6"/>
      <c r="F2" s="6"/>
    </row>
    <row r="4" spans="1:6" ht="19.5" customHeight="1" x14ac:dyDescent="0.35">
      <c r="A4" s="5" t="s">
        <v>424</v>
      </c>
      <c r="B4" s="5"/>
      <c r="C4" s="5"/>
      <c r="D4" s="5"/>
      <c r="E4" s="5"/>
      <c r="F4" s="5"/>
    </row>
    <row r="5" spans="1:6" ht="31.5" customHeight="1" x14ac:dyDescent="0.35">
      <c r="A5" s="9" t="s">
        <v>0</v>
      </c>
      <c r="B5" s="9" t="s">
        <v>425</v>
      </c>
      <c r="C5" s="9" t="s">
        <v>426</v>
      </c>
      <c r="D5" s="9" t="s">
        <v>427</v>
      </c>
      <c r="E5" s="9" t="s">
        <v>428</v>
      </c>
      <c r="F5" s="9" t="s">
        <v>429</v>
      </c>
    </row>
    <row r="6" spans="1:6" ht="31.5" customHeight="1" x14ac:dyDescent="0.35">
      <c r="A6" s="10">
        <v>1</v>
      </c>
      <c r="B6" s="8" t="s">
        <v>430</v>
      </c>
      <c r="C6" s="8" t="s">
        <v>1</v>
      </c>
      <c r="D6" s="26">
        <f>ROUND(COUNTA('Dữ liệu thô'!$A$2:$A$207)-SUMPRODUCT(1/COUNTIF('Dữ liệu thô'!$A$2:$A$207,'Dữ liệu thô'!$A$2:$A$207)),0)</f>
        <v>6</v>
      </c>
      <c r="E6" s="8" t="s">
        <v>431</v>
      </c>
      <c r="F6" s="10" t="s">
        <v>432</v>
      </c>
    </row>
    <row r="7" spans="1:6" ht="31.5" customHeight="1" x14ac:dyDescent="0.35">
      <c r="A7" s="10">
        <v>2</v>
      </c>
      <c r="B7" s="8" t="s">
        <v>433</v>
      </c>
      <c r="C7" s="8" t="s">
        <v>3</v>
      </c>
      <c r="D7" s="26">
        <f>SUMPRODUCT(--ISTEXT('Dữ liệu thô'!$B$2:$B$207))</f>
        <v>7</v>
      </c>
      <c r="E7" s="8" t="s">
        <v>434</v>
      </c>
      <c r="F7" s="10" t="s">
        <v>432</v>
      </c>
    </row>
    <row r="8" spans="1:6" ht="31.5" customHeight="1" x14ac:dyDescent="0.35">
      <c r="A8" s="10">
        <v>3</v>
      </c>
      <c r="B8" s="8" t="s">
        <v>435</v>
      </c>
      <c r="C8" s="8" t="s">
        <v>13</v>
      </c>
      <c r="D8" s="26">
        <f>SUMPRODUCT(--((EXACT('Dữ liệu thô'!$F$2:$F$207,"Miền Bắc")+EXACT('Dữ liệu thô'!$F$2:$F$207,"Miền Trung")+EXACT('Dữ liệu thô'!$F$2:$F$207,"Miền Nam"))=0))</f>
        <v>9</v>
      </c>
      <c r="E8" s="8" t="s">
        <v>436</v>
      </c>
      <c r="F8" s="10" t="s">
        <v>437</v>
      </c>
    </row>
    <row r="9" spans="1:6" ht="31.5" customHeight="1" x14ac:dyDescent="0.35">
      <c r="A9" s="10">
        <v>4</v>
      </c>
      <c r="B9" s="8" t="s">
        <v>438</v>
      </c>
      <c r="C9" s="8" t="s">
        <v>29</v>
      </c>
      <c r="D9" s="26">
        <f>SUMPRODUCT(--((EXACT('Dữ liệu thô'!$P$2:$P$207,"Hoàn thành")+EXACT('Dữ liệu thô'!$P$2:$P$207,"Đã hủy")+EXACT('Dữ liệu thô'!$P$2:$P$207,"Hoàn trả"))=0))</f>
        <v>5</v>
      </c>
      <c r="E9" s="8" t="s">
        <v>439</v>
      </c>
      <c r="F9" s="10" t="s">
        <v>432</v>
      </c>
    </row>
    <row r="10" spans="1:6" ht="31.5" customHeight="1" x14ac:dyDescent="0.35">
      <c r="A10" s="10">
        <v>5</v>
      </c>
      <c r="B10" s="8" t="s">
        <v>440</v>
      </c>
      <c r="C10" s="8" t="s">
        <v>19</v>
      </c>
      <c r="D10" s="26">
        <f>SUMPRODUCT(--(LEN('Dữ liệu thô'!$I$2:$I$207)&lt;&gt;LEN(TRIM('Dữ liệu thô'!$I$2:$I$207))))</f>
        <v>5</v>
      </c>
      <c r="E10" s="8" t="s">
        <v>441</v>
      </c>
      <c r="F10" s="10" t="s">
        <v>437</v>
      </c>
    </row>
    <row r="11" spans="1:6" ht="31.5" customHeight="1" x14ac:dyDescent="0.35">
      <c r="A11" s="10">
        <v>6</v>
      </c>
      <c r="B11" s="8" t="s">
        <v>442</v>
      </c>
      <c r="C11" s="8" t="s">
        <v>21</v>
      </c>
      <c r="D11" s="26">
        <f>COUNTBLANK('Dữ liệu thô'!$J$2:$J$207)</f>
        <v>4</v>
      </c>
      <c r="E11" s="8" t="s">
        <v>443</v>
      </c>
      <c r="F11" s="10" t="s">
        <v>437</v>
      </c>
    </row>
    <row r="12" spans="1:6" ht="31.5" customHeight="1" x14ac:dyDescent="0.35">
      <c r="A12" s="10">
        <v>7</v>
      </c>
      <c r="B12" s="8" t="s">
        <v>444</v>
      </c>
      <c r="C12" s="8" t="s">
        <v>445</v>
      </c>
      <c r="D12" s="26">
        <f>COUNTBLANK('Dữ liệu thô'!$K$2:$K$207)</f>
        <v>4</v>
      </c>
      <c r="E12" s="8" t="s">
        <v>446</v>
      </c>
      <c r="F12" s="10" t="s">
        <v>437</v>
      </c>
    </row>
    <row r="13" spans="1:6" ht="31.5" customHeight="1" x14ac:dyDescent="0.35">
      <c r="A13" s="10">
        <v>8</v>
      </c>
      <c r="B13" s="8" t="s">
        <v>447</v>
      </c>
      <c r="C13" s="8" t="s">
        <v>35</v>
      </c>
      <c r="D13" s="26">
        <f>COUNTIF('Dữ liệu thô'!$N$2:$N$207,"&gt;1")</f>
        <v>6</v>
      </c>
      <c r="E13" s="8" t="s">
        <v>448</v>
      </c>
      <c r="F13" s="10" t="s">
        <v>432</v>
      </c>
    </row>
    <row r="15" spans="1:6" ht="19.5" customHeight="1" x14ac:dyDescent="0.35">
      <c r="A15" s="5" t="s">
        <v>449</v>
      </c>
      <c r="B15" s="5"/>
      <c r="C15" s="5"/>
      <c r="D15" s="5"/>
      <c r="E15" s="5"/>
      <c r="F15" s="5"/>
    </row>
    <row r="16" spans="1:6" ht="31.5" customHeight="1" x14ac:dyDescent="0.35">
      <c r="A16" s="9"/>
      <c r="B16" s="9" t="s">
        <v>450</v>
      </c>
      <c r="C16" s="9"/>
      <c r="D16" s="9" t="s">
        <v>451</v>
      </c>
      <c r="E16" s="9" t="s">
        <v>452</v>
      </c>
      <c r="F16" s="9"/>
    </row>
    <row r="17" spans="1:6" x14ac:dyDescent="0.35">
      <c r="B17" s="8" t="s">
        <v>453</v>
      </c>
      <c r="C17" s="11"/>
      <c r="D17" s="27">
        <f>COUNTA('Dữ liệu thô'!$A$2:$A$207)</f>
        <v>206</v>
      </c>
      <c r="E17" s="8" t="s">
        <v>454</v>
      </c>
    </row>
    <row r="18" spans="1:6" x14ac:dyDescent="0.35">
      <c r="B18" s="8" t="s">
        <v>455</v>
      </c>
      <c r="C18" s="11"/>
      <c r="D18" s="27">
        <f>COUNTA('Dữ liệu sạch'!$A$2:$A$201)</f>
        <v>200</v>
      </c>
      <c r="E18" s="8" t="s">
        <v>456</v>
      </c>
    </row>
    <row r="19" spans="1:6" x14ac:dyDescent="0.35">
      <c r="B19" s="8" t="s">
        <v>457</v>
      </c>
      <c r="C19" s="11"/>
      <c r="D19" s="27">
        <f>D17-D18</f>
        <v>6</v>
      </c>
      <c r="E19" s="8" t="s">
        <v>458</v>
      </c>
    </row>
    <row r="20" spans="1:6" x14ac:dyDescent="0.35">
      <c r="B20" s="8" t="s">
        <v>459</v>
      </c>
      <c r="C20" s="11"/>
      <c r="D20" s="28">
        <f>D18/D17</f>
        <v>0.970873786407767</v>
      </c>
      <c r="E20" s="8" t="s">
        <v>460</v>
      </c>
    </row>
    <row r="22" spans="1:6" ht="19.5" customHeight="1" x14ac:dyDescent="0.35">
      <c r="A22" s="5" t="s">
        <v>461</v>
      </c>
      <c r="B22" s="5"/>
      <c r="C22" s="5"/>
      <c r="D22" s="5"/>
      <c r="E22" s="5"/>
      <c r="F22" s="5"/>
    </row>
    <row r="23" spans="1:6" ht="31.5" customHeight="1" x14ac:dyDescent="0.35">
      <c r="A23" s="9" t="s">
        <v>0</v>
      </c>
      <c r="B23" s="3" t="s">
        <v>462</v>
      </c>
      <c r="C23" s="3"/>
      <c r="D23" s="9" t="s">
        <v>463</v>
      </c>
      <c r="E23" s="9" t="s">
        <v>464</v>
      </c>
      <c r="F23" s="9" t="s">
        <v>29</v>
      </c>
    </row>
    <row r="24" spans="1:6" ht="15" customHeight="1" x14ac:dyDescent="0.35">
      <c r="A24" s="10">
        <v>1</v>
      </c>
      <c r="B24" s="4" t="s">
        <v>465</v>
      </c>
      <c r="C24" s="4"/>
      <c r="D24" s="26">
        <f>ROUND(COUNTA('Dữ liệu sạch'!$A$2:$A$201)-SUMPRODUCT(1/COUNTIF('Dữ liệu sạch'!$A$2:$A$201,'Dữ liệu sạch'!$A$2:$A$201)),0)</f>
        <v>0</v>
      </c>
      <c r="E24" s="29">
        <v>0</v>
      </c>
      <c r="F24" s="10" t="str">
        <f>IF(D24=E24,"Đạt","Lỗi")</f>
        <v>Đạt</v>
      </c>
    </row>
    <row r="25" spans="1:6" ht="15" customHeight="1" x14ac:dyDescent="0.35">
      <c r="A25" s="10">
        <v>2</v>
      </c>
      <c r="B25" s="4" t="s">
        <v>466</v>
      </c>
      <c r="C25" s="4"/>
      <c r="D25" s="26">
        <f>COUNTBLANK('Dữ liệu sạch'!$A$2:$R$201)</f>
        <v>0</v>
      </c>
      <c r="E25" s="29">
        <v>0</v>
      </c>
      <c r="F25" s="10" t="str">
        <f>IF(D25=E25,"Đạt","Lỗi")</f>
        <v>Đạt</v>
      </c>
    </row>
    <row r="26" spans="1:6" ht="15" customHeight="1" x14ac:dyDescent="0.35">
      <c r="A26" s="10">
        <v>3</v>
      </c>
      <c r="B26" s="4" t="s">
        <v>467</v>
      </c>
      <c r="C26" s="4"/>
      <c r="D26" s="26">
        <f>SUMPRODUCT(--ISTEXT('Dữ liệu sạch'!$B$2:$B$201))</f>
        <v>0</v>
      </c>
      <c r="E26" s="29">
        <v>0</v>
      </c>
      <c r="F26" s="10" t="str">
        <f>IF(D26=E26,"Đạt","Lỗi")</f>
        <v>Đạt</v>
      </c>
    </row>
    <row r="27" spans="1:6" ht="15" customHeight="1" x14ac:dyDescent="0.35">
      <c r="A27" s="10">
        <v>4</v>
      </c>
      <c r="B27" s="4" t="s">
        <v>468</v>
      </c>
      <c r="C27" s="4"/>
      <c r="D27" s="26">
        <f>COUNTIF('Dữ liệu sạch'!$P$2:$P$201,"&gt;1")</f>
        <v>0</v>
      </c>
      <c r="E27" s="29">
        <v>0</v>
      </c>
      <c r="F27" s="10" t="str">
        <f>IF(D27=E27,"Đạt","Lỗi")</f>
        <v>Đạt</v>
      </c>
    </row>
    <row r="28" spans="1:6" ht="15" customHeight="1" x14ac:dyDescent="0.35">
      <c r="A28" s="10">
        <v>5</v>
      </c>
      <c r="B28" s="4" t="s">
        <v>469</v>
      </c>
      <c r="C28" s="4"/>
      <c r="D28" s="26">
        <f>COUNTIF('Dữ liệu sạch'!$N$2:$N$201,"&lt;=0")</f>
        <v>0</v>
      </c>
      <c r="E28" s="29">
        <v>0</v>
      </c>
      <c r="F28" s="10" t="str">
        <f>IF(D28=E28,"Đạt","Lỗi")</f>
        <v>Đạt</v>
      </c>
    </row>
    <row r="30" spans="1:6" ht="19.5" customHeight="1" x14ac:dyDescent="0.35">
      <c r="A30" s="5" t="s">
        <v>470</v>
      </c>
      <c r="B30" s="5"/>
      <c r="C30" s="5"/>
      <c r="D30" s="5"/>
      <c r="E30" s="5"/>
      <c r="F30" s="5"/>
    </row>
    <row r="31" spans="1:6" ht="31.5" customHeight="1" x14ac:dyDescent="0.35">
      <c r="A31" s="9" t="s">
        <v>0</v>
      </c>
      <c r="B31" s="3" t="s">
        <v>471</v>
      </c>
      <c r="C31" s="3"/>
      <c r="D31" s="9" t="s">
        <v>472</v>
      </c>
      <c r="E31" s="9" t="s">
        <v>473</v>
      </c>
      <c r="F31" s="9" t="s">
        <v>29</v>
      </c>
    </row>
    <row r="32" spans="1:6" ht="15" customHeight="1" x14ac:dyDescent="0.35">
      <c r="A32" s="10">
        <v>1</v>
      </c>
      <c r="B32" s="4" t="s">
        <v>474</v>
      </c>
      <c r="C32" s="4"/>
      <c r="D32" s="14">
        <f>'PT Thời gian'!D18</f>
        <v>346260650</v>
      </c>
      <c r="E32" s="14">
        <f>D32-SUM('Dữ liệu sạch'!$W$2:$W$201)</f>
        <v>0</v>
      </c>
      <c r="F32" s="10" t="str">
        <f t="shared" ref="F32:F41" si="0">IF(ABS(E32)&lt;1,"Khớp","Lệch")</f>
        <v>Khớp</v>
      </c>
    </row>
    <row r="33" spans="1:6" ht="15" customHeight="1" x14ac:dyDescent="0.35">
      <c r="A33" s="10">
        <v>2</v>
      </c>
      <c r="B33" s="4" t="s">
        <v>475</v>
      </c>
      <c r="C33" s="4"/>
      <c r="D33" s="14">
        <f>'PT Thời gian'!C27</f>
        <v>346260650</v>
      </c>
      <c r="E33" s="14">
        <f>D33-SUM('Dữ liệu sạch'!$W$2:$W$201)</f>
        <v>0</v>
      </c>
      <c r="F33" s="10" t="str">
        <f t="shared" si="0"/>
        <v>Khớp</v>
      </c>
    </row>
    <row r="34" spans="1:6" ht="15" customHeight="1" x14ac:dyDescent="0.35">
      <c r="A34" s="10">
        <v>3</v>
      </c>
      <c r="B34" s="4" t="s">
        <v>476</v>
      </c>
      <c r="C34" s="4"/>
      <c r="D34" s="14">
        <f>'PT Sản phẩm'!D11</f>
        <v>346260650</v>
      </c>
      <c r="E34" s="14">
        <f>D34-SUM('Dữ liệu sạch'!$W$2:$W$201)</f>
        <v>0</v>
      </c>
      <c r="F34" s="10" t="str">
        <f t="shared" si="0"/>
        <v>Khớp</v>
      </c>
    </row>
    <row r="35" spans="1:6" ht="15" customHeight="1" x14ac:dyDescent="0.35">
      <c r="A35" s="10">
        <v>4</v>
      </c>
      <c r="B35" s="4" t="s">
        <v>477</v>
      </c>
      <c r="C35" s="4"/>
      <c r="D35" s="14">
        <f>'PT Sản phẩm'!D34</f>
        <v>346260650</v>
      </c>
      <c r="E35" s="14">
        <f>D35-SUM('Dữ liệu sạch'!$W$2:$W$201)</f>
        <v>0</v>
      </c>
      <c r="F35" s="10" t="str">
        <f t="shared" si="0"/>
        <v>Khớp</v>
      </c>
    </row>
    <row r="36" spans="1:6" ht="15" customHeight="1" x14ac:dyDescent="0.35">
      <c r="A36" s="10">
        <v>5</v>
      </c>
      <c r="B36" s="4" t="s">
        <v>478</v>
      </c>
      <c r="C36" s="4"/>
      <c r="D36" s="14">
        <f>'PT Khu vực - Kênh'!C9</f>
        <v>346260650</v>
      </c>
      <c r="E36" s="14">
        <f>D36-SUM('Dữ liệu sạch'!$W$2:$W$201)</f>
        <v>0</v>
      </c>
      <c r="F36" s="10" t="str">
        <f t="shared" si="0"/>
        <v>Khớp</v>
      </c>
    </row>
    <row r="37" spans="1:6" ht="15" customHeight="1" x14ac:dyDescent="0.35">
      <c r="A37" s="10">
        <v>6</v>
      </c>
      <c r="B37" s="4" t="s">
        <v>479</v>
      </c>
      <c r="C37" s="4"/>
      <c r="D37" s="14">
        <f>'PT Khu vực - Kênh'!D26</f>
        <v>346260650</v>
      </c>
      <c r="E37" s="14">
        <f>D37-SUM('Dữ liệu sạch'!$W$2:$W$201)</f>
        <v>0</v>
      </c>
      <c r="F37" s="10" t="str">
        <f t="shared" si="0"/>
        <v>Khớp</v>
      </c>
    </row>
    <row r="38" spans="1:6" ht="15" customHeight="1" x14ac:dyDescent="0.35">
      <c r="A38" s="10">
        <v>7</v>
      </c>
      <c r="B38" s="4" t="s">
        <v>480</v>
      </c>
      <c r="C38" s="4"/>
      <c r="D38" s="14">
        <f>'PT Khu vực - Kênh'!C35</f>
        <v>346260650</v>
      </c>
      <c r="E38" s="14">
        <f>D38-SUM('Dữ liệu sạch'!$W$2:$W$201)</f>
        <v>0</v>
      </c>
      <c r="F38" s="10" t="str">
        <f t="shared" si="0"/>
        <v>Khớp</v>
      </c>
    </row>
    <row r="39" spans="1:6" ht="15" customHeight="1" x14ac:dyDescent="0.35">
      <c r="A39" s="10">
        <v>8</v>
      </c>
      <c r="B39" s="4" t="s">
        <v>481</v>
      </c>
      <c r="C39" s="4"/>
      <c r="D39" s="14">
        <f>'PT Khách hàng - NV'!C21</f>
        <v>346260650</v>
      </c>
      <c r="E39" s="14">
        <f>D39-SUM('Dữ liệu sạch'!$W$2:$W$201)</f>
        <v>0</v>
      </c>
      <c r="F39" s="10" t="str">
        <f t="shared" si="0"/>
        <v>Khớp</v>
      </c>
    </row>
    <row r="40" spans="1:6" ht="15" customHeight="1" x14ac:dyDescent="0.35">
      <c r="A40" s="10">
        <v>9</v>
      </c>
      <c r="B40" s="4" t="s">
        <v>482</v>
      </c>
      <c r="C40" s="4"/>
      <c r="D40" s="14">
        <f>'PT Khách hàng - NV'!D8</f>
        <v>346260650</v>
      </c>
      <c r="E40" s="14">
        <f>D40-SUM('Dữ liệu sạch'!$W$2:$W$201)</f>
        <v>0</v>
      </c>
      <c r="F40" s="10" t="str">
        <f t="shared" si="0"/>
        <v>Khớp</v>
      </c>
    </row>
    <row r="41" spans="1:6" ht="15" customHeight="1" x14ac:dyDescent="0.35">
      <c r="A41" s="10">
        <v>10</v>
      </c>
      <c r="B41" s="4" t="s">
        <v>483</v>
      </c>
      <c r="C41" s="4"/>
      <c r="D41" s="14">
        <f>SUM('PT Khách hàng - NV'!F54:F113)</f>
        <v>346260650</v>
      </c>
      <c r="E41" s="14">
        <f>D41-SUM('Dữ liệu sạch'!$W$2:$W$201)</f>
        <v>0</v>
      </c>
      <c r="F41" s="10" t="str">
        <f t="shared" si="0"/>
        <v>Khớp</v>
      </c>
    </row>
    <row r="42" spans="1:6" ht="15" customHeight="1" x14ac:dyDescent="0.35">
      <c r="A42" s="30"/>
      <c r="B42" s="2" t="s">
        <v>484</v>
      </c>
      <c r="C42" s="2"/>
      <c r="D42" s="32">
        <f>SUM('Dữ liệu sạch'!$W$2:$W$201)</f>
        <v>346260650</v>
      </c>
      <c r="E42" s="30"/>
      <c r="F42" s="30"/>
    </row>
  </sheetData>
  <mergeCells count="24">
    <mergeCell ref="B39:C39"/>
    <mergeCell ref="B40:C40"/>
    <mergeCell ref="B41:C41"/>
    <mergeCell ref="B42:C42"/>
    <mergeCell ref="B34:C34"/>
    <mergeCell ref="B35:C35"/>
    <mergeCell ref="B36:C36"/>
    <mergeCell ref="B37:C37"/>
    <mergeCell ref="B38:C38"/>
    <mergeCell ref="B28:C28"/>
    <mergeCell ref="A30:F30"/>
    <mergeCell ref="B31:C31"/>
    <mergeCell ref="B32:C32"/>
    <mergeCell ref="B33:C33"/>
    <mergeCell ref="B23:C23"/>
    <mergeCell ref="B24:C24"/>
    <mergeCell ref="B25:C25"/>
    <mergeCell ref="B26:C26"/>
    <mergeCell ref="B27:C27"/>
    <mergeCell ref="A1:F1"/>
    <mergeCell ref="A2:F2"/>
    <mergeCell ref="A4:F4"/>
    <mergeCell ref="A15:F15"/>
    <mergeCell ref="A22:F22"/>
  </mergeCells>
  <conditionalFormatting sqref="F24:F28">
    <cfRule type="cellIs" dxfId="1" priority="2" operator="equal">
      <formula>"Lỗi"</formula>
    </cfRule>
  </conditionalFormatting>
  <conditionalFormatting sqref="F32:F41">
    <cfRule type="cellIs" dxfId="0" priority="3" operator="equal">
      <formula>"Lệch"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A1:AA201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8" sqref="F8"/>
    </sheetView>
  </sheetViews>
  <sheetFormatPr defaultColWidth="8.6328125" defaultRowHeight="14.5" x14ac:dyDescent="0.35"/>
  <cols>
    <col min="1" max="1" width="15" customWidth="1"/>
    <col min="2" max="2" width="13" customWidth="1"/>
    <col min="3" max="3" width="8" customWidth="1"/>
    <col min="4" max="4" width="7" customWidth="1"/>
    <col min="5" max="5" width="9" customWidth="1"/>
    <col min="6" max="6" width="24" customWidth="1"/>
    <col min="7" max="7" width="14" customWidth="1"/>
    <col min="8" max="8" width="13" customWidth="1"/>
    <col min="9" max="9" width="17" customWidth="1"/>
    <col min="10" max="10" width="12" customWidth="1"/>
    <col min="11" max="11" width="24" customWidth="1"/>
    <col min="12" max="12" width="11" customWidth="1"/>
    <col min="13" max="13" width="20" customWidth="1"/>
    <col min="14" max="14" width="9" customWidth="1"/>
    <col min="15" max="15" width="14" customWidth="1"/>
    <col min="16" max="16" width="10" customWidth="1"/>
    <col min="17" max="17" width="14" customWidth="1"/>
    <col min="18" max="18" width="13" customWidth="1"/>
    <col min="19" max="21" width="15" customWidth="1"/>
    <col min="22" max="22" width="9" customWidth="1"/>
    <col min="23" max="24" width="18" customWidth="1"/>
    <col min="25" max="25" width="14" customWidth="1"/>
    <col min="27" max="27" width="80" customWidth="1"/>
  </cols>
  <sheetData>
    <row r="1" spans="1:27" ht="45" customHeight="1" x14ac:dyDescent="0.35">
      <c r="A1" s="9" t="s">
        <v>1</v>
      </c>
      <c r="B1" s="9" t="s">
        <v>3</v>
      </c>
      <c r="C1" s="9" t="s">
        <v>4</v>
      </c>
      <c r="D1" s="9" t="s">
        <v>5</v>
      </c>
      <c r="E1" s="9" t="s">
        <v>7</v>
      </c>
      <c r="F1" s="9" t="s">
        <v>9</v>
      </c>
      <c r="G1" s="9" t="s">
        <v>11</v>
      </c>
      <c r="H1" s="9" t="s">
        <v>13</v>
      </c>
      <c r="I1" s="9" t="s">
        <v>15</v>
      </c>
      <c r="J1" s="9" t="s">
        <v>17</v>
      </c>
      <c r="K1" s="9" t="s">
        <v>19</v>
      </c>
      <c r="L1" s="9" t="s">
        <v>21</v>
      </c>
      <c r="M1" s="9" t="s">
        <v>23</v>
      </c>
      <c r="N1" s="9" t="s">
        <v>25</v>
      </c>
      <c r="O1" s="9" t="s">
        <v>26</v>
      </c>
      <c r="P1" s="9" t="s">
        <v>27</v>
      </c>
      <c r="Q1" s="9" t="s">
        <v>28</v>
      </c>
      <c r="R1" s="9" t="s">
        <v>29</v>
      </c>
      <c r="S1" s="9" t="s">
        <v>31</v>
      </c>
      <c r="T1" s="9" t="s">
        <v>32</v>
      </c>
      <c r="U1" s="9" t="s">
        <v>33</v>
      </c>
      <c r="V1" s="9" t="s">
        <v>34</v>
      </c>
      <c r="W1" s="9" t="s">
        <v>485</v>
      </c>
      <c r="X1" s="9" t="s">
        <v>486</v>
      </c>
      <c r="Y1" s="9" t="s">
        <v>487</v>
      </c>
      <c r="AA1" s="12" t="s">
        <v>452</v>
      </c>
    </row>
    <row r="2" spans="1:27" x14ac:dyDescent="0.35">
      <c r="A2" s="11" t="s">
        <v>2</v>
      </c>
      <c r="B2" s="17">
        <v>45662</v>
      </c>
      <c r="C2" s="11">
        <f t="shared" ref="C2:C33" si="0">MONTH(B2)</f>
        <v>1</v>
      </c>
      <c r="D2" s="11" t="str">
        <f t="shared" ref="D2:D33" si="1">"Q"&amp;ROUNDUP(C2/3,0)</f>
        <v>Q1</v>
      </c>
      <c r="E2" s="11" t="s">
        <v>38</v>
      </c>
      <c r="F2" s="11" t="s">
        <v>39</v>
      </c>
      <c r="G2" s="11" t="s">
        <v>40</v>
      </c>
      <c r="H2" s="11" t="s">
        <v>41</v>
      </c>
      <c r="I2" s="11" t="s">
        <v>42</v>
      </c>
      <c r="J2" s="11" t="s">
        <v>43</v>
      </c>
      <c r="K2" s="11" t="s">
        <v>44</v>
      </c>
      <c r="L2" s="11" t="s">
        <v>22</v>
      </c>
      <c r="M2" s="11" t="s">
        <v>24</v>
      </c>
      <c r="N2" s="11">
        <v>2</v>
      </c>
      <c r="O2" s="33">
        <v>588000</v>
      </c>
      <c r="P2" s="34">
        <v>0.15</v>
      </c>
      <c r="Q2" s="33">
        <v>260000</v>
      </c>
      <c r="R2" s="11" t="s">
        <v>30</v>
      </c>
      <c r="S2" s="14">
        <f t="shared" ref="S2:S33" si="2">N2*O2*(1-P2)</f>
        <v>999600</v>
      </c>
      <c r="T2" s="14">
        <f t="shared" ref="T2:T33" si="3">N2*Q2</f>
        <v>520000</v>
      </c>
      <c r="U2" s="14">
        <f t="shared" ref="U2:U33" si="4">S2-T2</f>
        <v>479600</v>
      </c>
      <c r="V2" s="35">
        <f t="shared" ref="V2:V33" si="5">IF(S2=0,0,U2/S2)</f>
        <v>0.47979191676670668</v>
      </c>
      <c r="W2" s="14">
        <f t="shared" ref="W2:W33" si="6">IF(R2="Hoàn thành",S2,"")</f>
        <v>999600</v>
      </c>
      <c r="X2" s="14">
        <f t="shared" ref="X2:X33" si="7">IF(R2="Hoàn thành",U2,"")</f>
        <v>479600</v>
      </c>
      <c r="Y2" s="11">
        <f t="shared" ref="Y2:Y33" si="8">WEEKDAY(B2,2)</f>
        <v>7</v>
      </c>
      <c r="AA2" s="20" t="s">
        <v>488</v>
      </c>
    </row>
    <row r="3" spans="1:27" x14ac:dyDescent="0.35">
      <c r="A3" s="11" t="s">
        <v>46</v>
      </c>
      <c r="B3" s="17">
        <v>45666</v>
      </c>
      <c r="C3" s="11">
        <f t="shared" si="0"/>
        <v>1</v>
      </c>
      <c r="D3" s="11" t="str">
        <f t="shared" si="1"/>
        <v>Q1</v>
      </c>
      <c r="E3" s="11" t="s">
        <v>38</v>
      </c>
      <c r="F3" s="11" t="s">
        <v>39</v>
      </c>
      <c r="G3" s="11" t="s">
        <v>40</v>
      </c>
      <c r="H3" s="11" t="s">
        <v>41</v>
      </c>
      <c r="I3" s="11" t="s">
        <v>42</v>
      </c>
      <c r="J3" s="11" t="s">
        <v>43</v>
      </c>
      <c r="K3" s="11" t="s">
        <v>48</v>
      </c>
      <c r="L3" s="11" t="s">
        <v>22</v>
      </c>
      <c r="M3" s="11" t="s">
        <v>49</v>
      </c>
      <c r="N3" s="11">
        <v>3</v>
      </c>
      <c r="O3" s="33">
        <v>290000</v>
      </c>
      <c r="P3" s="34">
        <v>0.1</v>
      </c>
      <c r="Q3" s="33">
        <v>120000</v>
      </c>
      <c r="R3" s="11" t="s">
        <v>30</v>
      </c>
      <c r="S3" s="14">
        <f t="shared" si="2"/>
        <v>783000</v>
      </c>
      <c r="T3" s="14">
        <f t="shared" si="3"/>
        <v>360000</v>
      </c>
      <c r="U3" s="14">
        <f t="shared" si="4"/>
        <v>423000</v>
      </c>
      <c r="V3" s="35">
        <f t="shared" si="5"/>
        <v>0.54022988505747127</v>
      </c>
      <c r="W3" s="14">
        <f t="shared" si="6"/>
        <v>783000</v>
      </c>
      <c r="X3" s="14">
        <f t="shared" si="7"/>
        <v>423000</v>
      </c>
      <c r="Y3" s="11">
        <f t="shared" si="8"/>
        <v>4</v>
      </c>
      <c r="AA3" s="20" t="s">
        <v>489</v>
      </c>
    </row>
    <row r="4" spans="1:27" x14ac:dyDescent="0.35">
      <c r="A4" s="11" t="s">
        <v>51</v>
      </c>
      <c r="B4" s="17">
        <v>45667</v>
      </c>
      <c r="C4" s="11">
        <f t="shared" si="0"/>
        <v>1</v>
      </c>
      <c r="D4" s="11" t="str">
        <f t="shared" si="1"/>
        <v>Q1</v>
      </c>
      <c r="E4" s="11" t="s">
        <v>52</v>
      </c>
      <c r="F4" s="11" t="s">
        <v>53</v>
      </c>
      <c r="G4" s="11" t="s">
        <v>40</v>
      </c>
      <c r="H4" s="11" t="s">
        <v>41</v>
      </c>
      <c r="I4" s="11" t="s">
        <v>42</v>
      </c>
      <c r="J4" s="11" t="s">
        <v>54</v>
      </c>
      <c r="K4" s="11" t="s">
        <v>55</v>
      </c>
      <c r="L4" s="11" t="s">
        <v>56</v>
      </c>
      <c r="M4" s="11" t="s">
        <v>57</v>
      </c>
      <c r="N4" s="11">
        <v>1</v>
      </c>
      <c r="O4" s="33">
        <v>892000</v>
      </c>
      <c r="P4" s="34">
        <v>0.2</v>
      </c>
      <c r="Q4" s="33">
        <v>520000</v>
      </c>
      <c r="R4" s="11" t="s">
        <v>58</v>
      </c>
      <c r="S4" s="14">
        <f t="shared" si="2"/>
        <v>713600</v>
      </c>
      <c r="T4" s="14">
        <f t="shared" si="3"/>
        <v>520000</v>
      </c>
      <c r="U4" s="14">
        <f t="shared" si="4"/>
        <v>193600</v>
      </c>
      <c r="V4" s="35">
        <f t="shared" si="5"/>
        <v>0.27130044843049328</v>
      </c>
      <c r="W4" s="14" t="str">
        <f t="shared" si="6"/>
        <v/>
      </c>
      <c r="X4" s="14" t="str">
        <f t="shared" si="7"/>
        <v/>
      </c>
      <c r="Y4" s="11">
        <f t="shared" si="8"/>
        <v>5</v>
      </c>
      <c r="AA4" s="20" t="s">
        <v>490</v>
      </c>
    </row>
    <row r="5" spans="1:27" x14ac:dyDescent="0.35">
      <c r="A5" s="11" t="s">
        <v>60</v>
      </c>
      <c r="B5" s="17">
        <v>45669</v>
      </c>
      <c r="C5" s="11">
        <f t="shared" si="0"/>
        <v>1</v>
      </c>
      <c r="D5" s="11" t="str">
        <f t="shared" si="1"/>
        <v>Q1</v>
      </c>
      <c r="E5" s="11" t="s">
        <v>61</v>
      </c>
      <c r="F5" s="11" t="s">
        <v>62</v>
      </c>
      <c r="G5" s="11" t="s">
        <v>40</v>
      </c>
      <c r="H5" s="11" t="s">
        <v>63</v>
      </c>
      <c r="I5" s="11" t="s">
        <v>64</v>
      </c>
      <c r="J5" s="11" t="s">
        <v>65</v>
      </c>
      <c r="K5" s="11" t="s">
        <v>66</v>
      </c>
      <c r="L5" s="11" t="s">
        <v>56</v>
      </c>
      <c r="M5" s="11" t="s">
        <v>24</v>
      </c>
      <c r="N5" s="11">
        <v>1</v>
      </c>
      <c r="O5" s="33">
        <v>520000</v>
      </c>
      <c r="P5" s="34">
        <v>0</v>
      </c>
      <c r="Q5" s="33">
        <v>310000</v>
      </c>
      <c r="R5" s="11" t="s">
        <v>30</v>
      </c>
      <c r="S5" s="14">
        <f t="shared" si="2"/>
        <v>520000</v>
      </c>
      <c r="T5" s="14">
        <f t="shared" si="3"/>
        <v>310000</v>
      </c>
      <c r="U5" s="14">
        <f t="shared" si="4"/>
        <v>210000</v>
      </c>
      <c r="V5" s="35">
        <f t="shared" si="5"/>
        <v>0.40384615384615385</v>
      </c>
      <c r="W5" s="14">
        <f t="shared" si="6"/>
        <v>520000</v>
      </c>
      <c r="X5" s="14">
        <f t="shared" si="7"/>
        <v>210000</v>
      </c>
      <c r="Y5" s="11">
        <f t="shared" si="8"/>
        <v>7</v>
      </c>
      <c r="AA5" s="20" t="s">
        <v>491</v>
      </c>
    </row>
    <row r="6" spans="1:27" x14ac:dyDescent="0.35">
      <c r="A6" s="11" t="s">
        <v>67</v>
      </c>
      <c r="B6" s="17">
        <v>45670</v>
      </c>
      <c r="C6" s="11">
        <f t="shared" si="0"/>
        <v>1</v>
      </c>
      <c r="D6" s="11" t="str">
        <f t="shared" si="1"/>
        <v>Q1</v>
      </c>
      <c r="E6" s="11" t="s">
        <v>68</v>
      </c>
      <c r="F6" s="11" t="s">
        <v>69</v>
      </c>
      <c r="G6" s="11" t="s">
        <v>40</v>
      </c>
      <c r="H6" s="11" t="s">
        <v>14</v>
      </c>
      <c r="I6" s="11" t="s">
        <v>70</v>
      </c>
      <c r="J6" s="11" t="s">
        <v>71</v>
      </c>
      <c r="K6" s="11" t="s">
        <v>72</v>
      </c>
      <c r="L6" s="11" t="s">
        <v>73</v>
      </c>
      <c r="M6" s="11" t="s">
        <v>24</v>
      </c>
      <c r="N6" s="11">
        <v>1</v>
      </c>
      <c r="O6" s="33">
        <v>200000</v>
      </c>
      <c r="P6" s="34">
        <v>0</v>
      </c>
      <c r="Q6" s="33">
        <v>120000</v>
      </c>
      <c r="R6" s="11" t="s">
        <v>30</v>
      </c>
      <c r="S6" s="14">
        <f t="shared" si="2"/>
        <v>200000</v>
      </c>
      <c r="T6" s="14">
        <f t="shared" si="3"/>
        <v>120000</v>
      </c>
      <c r="U6" s="14">
        <f t="shared" si="4"/>
        <v>80000</v>
      </c>
      <c r="V6" s="35">
        <f t="shared" si="5"/>
        <v>0.4</v>
      </c>
      <c r="W6" s="14">
        <f t="shared" si="6"/>
        <v>200000</v>
      </c>
      <c r="X6" s="14">
        <f t="shared" si="7"/>
        <v>80000</v>
      </c>
      <c r="Y6" s="11">
        <f t="shared" si="8"/>
        <v>1</v>
      </c>
    </row>
    <row r="7" spans="1:27" x14ac:dyDescent="0.35">
      <c r="A7" s="11" t="s">
        <v>74</v>
      </c>
      <c r="B7" s="17">
        <v>45674</v>
      </c>
      <c r="C7" s="11">
        <f t="shared" si="0"/>
        <v>1</v>
      </c>
      <c r="D7" s="11" t="str">
        <f t="shared" si="1"/>
        <v>Q1</v>
      </c>
      <c r="E7" s="11" t="s">
        <v>68</v>
      </c>
      <c r="F7" s="11" t="s">
        <v>69</v>
      </c>
      <c r="G7" s="11" t="s">
        <v>40</v>
      </c>
      <c r="H7" s="11" t="s">
        <v>14</v>
      </c>
      <c r="I7" s="11" t="s">
        <v>70</v>
      </c>
      <c r="J7" s="11" t="s">
        <v>54</v>
      </c>
      <c r="K7" s="11" t="s">
        <v>75</v>
      </c>
      <c r="L7" s="11" t="s">
        <v>22</v>
      </c>
      <c r="M7" s="11" t="s">
        <v>76</v>
      </c>
      <c r="N7" s="11">
        <v>1</v>
      </c>
      <c r="O7" s="33">
        <v>1900000</v>
      </c>
      <c r="P7" s="34">
        <v>0</v>
      </c>
      <c r="Q7" s="33">
        <v>1200000</v>
      </c>
      <c r="R7" s="11" t="s">
        <v>30</v>
      </c>
      <c r="S7" s="14">
        <f t="shared" si="2"/>
        <v>1900000</v>
      </c>
      <c r="T7" s="14">
        <f t="shared" si="3"/>
        <v>1200000</v>
      </c>
      <c r="U7" s="14">
        <f t="shared" si="4"/>
        <v>700000</v>
      </c>
      <c r="V7" s="35">
        <f t="shared" si="5"/>
        <v>0.36842105263157893</v>
      </c>
      <c r="W7" s="14">
        <f t="shared" si="6"/>
        <v>1900000</v>
      </c>
      <c r="X7" s="14">
        <f t="shared" si="7"/>
        <v>700000</v>
      </c>
      <c r="Y7" s="11">
        <f t="shared" si="8"/>
        <v>5</v>
      </c>
    </row>
    <row r="8" spans="1:27" x14ac:dyDescent="0.35">
      <c r="A8" s="11" t="s">
        <v>77</v>
      </c>
      <c r="B8" s="17">
        <v>45676</v>
      </c>
      <c r="C8" s="11">
        <f t="shared" si="0"/>
        <v>1</v>
      </c>
      <c r="D8" s="11" t="str">
        <f t="shared" si="1"/>
        <v>Q1</v>
      </c>
      <c r="E8" s="11" t="s">
        <v>78</v>
      </c>
      <c r="F8" s="11" t="s">
        <v>79</v>
      </c>
      <c r="G8" s="11" t="s">
        <v>40</v>
      </c>
      <c r="H8" s="11" t="s">
        <v>41</v>
      </c>
      <c r="I8" s="11" t="s">
        <v>80</v>
      </c>
      <c r="J8" s="11" t="s">
        <v>71</v>
      </c>
      <c r="K8" s="11" t="s">
        <v>81</v>
      </c>
      <c r="L8" s="11" t="s">
        <v>22</v>
      </c>
      <c r="M8" s="11" t="s">
        <v>82</v>
      </c>
      <c r="N8" s="11">
        <v>1</v>
      </c>
      <c r="O8" s="33">
        <v>340000</v>
      </c>
      <c r="P8" s="34">
        <v>0</v>
      </c>
      <c r="Q8" s="33">
        <v>220000</v>
      </c>
      <c r="R8" s="11" t="s">
        <v>30</v>
      </c>
      <c r="S8" s="14">
        <f t="shared" si="2"/>
        <v>340000</v>
      </c>
      <c r="T8" s="14">
        <f t="shared" si="3"/>
        <v>220000</v>
      </c>
      <c r="U8" s="14">
        <f t="shared" si="4"/>
        <v>120000</v>
      </c>
      <c r="V8" s="35">
        <f t="shared" si="5"/>
        <v>0.35294117647058826</v>
      </c>
      <c r="W8" s="14">
        <f t="shared" si="6"/>
        <v>340000</v>
      </c>
      <c r="X8" s="14">
        <f t="shared" si="7"/>
        <v>120000</v>
      </c>
      <c r="Y8" s="11">
        <f t="shared" si="8"/>
        <v>7</v>
      </c>
    </row>
    <row r="9" spans="1:27" x14ac:dyDescent="0.35">
      <c r="A9" s="11" t="s">
        <v>83</v>
      </c>
      <c r="B9" s="17">
        <v>45676</v>
      </c>
      <c r="C9" s="11">
        <f t="shared" si="0"/>
        <v>1</v>
      </c>
      <c r="D9" s="11" t="str">
        <f t="shared" si="1"/>
        <v>Q1</v>
      </c>
      <c r="E9" s="11" t="s">
        <v>84</v>
      </c>
      <c r="F9" s="11" t="s">
        <v>85</v>
      </c>
      <c r="G9" s="11" t="s">
        <v>40</v>
      </c>
      <c r="H9" s="11" t="s">
        <v>41</v>
      </c>
      <c r="I9" s="11" t="s">
        <v>86</v>
      </c>
      <c r="J9" s="11" t="s">
        <v>71</v>
      </c>
      <c r="K9" s="11" t="s">
        <v>87</v>
      </c>
      <c r="L9" s="11" t="s">
        <v>73</v>
      </c>
      <c r="M9" s="11" t="s">
        <v>88</v>
      </c>
      <c r="N9" s="11">
        <v>1</v>
      </c>
      <c r="O9" s="33">
        <v>380000</v>
      </c>
      <c r="P9" s="34">
        <v>0.05</v>
      </c>
      <c r="Q9" s="33">
        <v>250000</v>
      </c>
      <c r="R9" s="11" t="s">
        <v>30</v>
      </c>
      <c r="S9" s="14">
        <f t="shared" si="2"/>
        <v>361000</v>
      </c>
      <c r="T9" s="14">
        <f t="shared" si="3"/>
        <v>250000</v>
      </c>
      <c r="U9" s="14">
        <f t="shared" si="4"/>
        <v>111000</v>
      </c>
      <c r="V9" s="35">
        <f t="shared" si="5"/>
        <v>0.30747922437673131</v>
      </c>
      <c r="W9" s="14">
        <f t="shared" si="6"/>
        <v>361000</v>
      </c>
      <c r="X9" s="14">
        <f t="shared" si="7"/>
        <v>111000</v>
      </c>
      <c r="Y9" s="11">
        <f t="shared" si="8"/>
        <v>7</v>
      </c>
    </row>
    <row r="10" spans="1:27" x14ac:dyDescent="0.35">
      <c r="A10" s="11" t="s">
        <v>89</v>
      </c>
      <c r="B10" s="17">
        <v>45678</v>
      </c>
      <c r="C10" s="11">
        <f t="shared" si="0"/>
        <v>1</v>
      </c>
      <c r="D10" s="11" t="str">
        <f t="shared" si="1"/>
        <v>Q1</v>
      </c>
      <c r="E10" s="11" t="s">
        <v>90</v>
      </c>
      <c r="F10" s="11" t="s">
        <v>91</v>
      </c>
      <c r="G10" s="11" t="s">
        <v>40</v>
      </c>
      <c r="H10" s="11" t="s">
        <v>63</v>
      </c>
      <c r="I10" s="11" t="s">
        <v>92</v>
      </c>
      <c r="J10" s="11" t="s">
        <v>18</v>
      </c>
      <c r="K10" s="11" t="s">
        <v>93</v>
      </c>
      <c r="L10" s="11" t="s">
        <v>22</v>
      </c>
      <c r="M10" s="11" t="s">
        <v>57</v>
      </c>
      <c r="N10" s="11">
        <v>1</v>
      </c>
      <c r="O10" s="33">
        <v>1500000</v>
      </c>
      <c r="P10" s="34">
        <v>0.2</v>
      </c>
      <c r="Q10" s="33">
        <v>800000</v>
      </c>
      <c r="R10" s="11" t="s">
        <v>30</v>
      </c>
      <c r="S10" s="14">
        <f t="shared" si="2"/>
        <v>1200000</v>
      </c>
      <c r="T10" s="14">
        <f t="shared" si="3"/>
        <v>800000</v>
      </c>
      <c r="U10" s="14">
        <f t="shared" si="4"/>
        <v>400000</v>
      </c>
      <c r="V10" s="35">
        <f t="shared" si="5"/>
        <v>0.33333333333333331</v>
      </c>
      <c r="W10" s="14">
        <f t="shared" si="6"/>
        <v>1200000</v>
      </c>
      <c r="X10" s="14">
        <f t="shared" si="7"/>
        <v>400000</v>
      </c>
      <c r="Y10" s="11">
        <f t="shared" si="8"/>
        <v>2</v>
      </c>
    </row>
    <row r="11" spans="1:27" x14ac:dyDescent="0.35">
      <c r="A11" s="11" t="s">
        <v>94</v>
      </c>
      <c r="B11" s="17">
        <v>45678</v>
      </c>
      <c r="C11" s="11">
        <f t="shared" si="0"/>
        <v>1</v>
      </c>
      <c r="D11" s="11" t="str">
        <f t="shared" si="1"/>
        <v>Q1</v>
      </c>
      <c r="E11" s="11" t="s">
        <v>95</v>
      </c>
      <c r="F11" s="11" t="s">
        <v>10</v>
      </c>
      <c r="G11" s="11" t="s">
        <v>12</v>
      </c>
      <c r="H11" s="11" t="s">
        <v>41</v>
      </c>
      <c r="I11" s="11" t="s">
        <v>42</v>
      </c>
      <c r="J11" s="11" t="s">
        <v>18</v>
      </c>
      <c r="K11" s="11" t="s">
        <v>96</v>
      </c>
      <c r="L11" s="11" t="s">
        <v>97</v>
      </c>
      <c r="M11" s="11" t="s">
        <v>88</v>
      </c>
      <c r="N11" s="11">
        <v>8</v>
      </c>
      <c r="O11" s="33">
        <v>750000</v>
      </c>
      <c r="P11" s="34">
        <v>0.05</v>
      </c>
      <c r="Q11" s="33">
        <v>390000</v>
      </c>
      <c r="R11" s="11" t="s">
        <v>98</v>
      </c>
      <c r="S11" s="14">
        <f t="shared" si="2"/>
        <v>5700000</v>
      </c>
      <c r="T11" s="14">
        <f t="shared" si="3"/>
        <v>3120000</v>
      </c>
      <c r="U11" s="14">
        <f t="shared" si="4"/>
        <v>2580000</v>
      </c>
      <c r="V11" s="35">
        <f t="shared" si="5"/>
        <v>0.45263157894736844</v>
      </c>
      <c r="W11" s="14" t="str">
        <f t="shared" si="6"/>
        <v/>
      </c>
      <c r="X11" s="14" t="str">
        <f t="shared" si="7"/>
        <v/>
      </c>
      <c r="Y11" s="11">
        <f t="shared" si="8"/>
        <v>2</v>
      </c>
    </row>
    <row r="12" spans="1:27" x14ac:dyDescent="0.35">
      <c r="A12" s="11" t="s">
        <v>99</v>
      </c>
      <c r="B12" s="17">
        <v>45679</v>
      </c>
      <c r="C12" s="11">
        <f t="shared" si="0"/>
        <v>1</v>
      </c>
      <c r="D12" s="11" t="str">
        <f t="shared" si="1"/>
        <v>Q1</v>
      </c>
      <c r="E12" s="11" t="s">
        <v>100</v>
      </c>
      <c r="F12" s="11" t="s">
        <v>101</v>
      </c>
      <c r="G12" s="11" t="s">
        <v>40</v>
      </c>
      <c r="H12" s="11" t="s">
        <v>14</v>
      </c>
      <c r="I12" s="11" t="s">
        <v>16</v>
      </c>
      <c r="J12" s="11" t="s">
        <v>18</v>
      </c>
      <c r="K12" s="11" t="s">
        <v>20</v>
      </c>
      <c r="L12" s="11" t="s">
        <v>22</v>
      </c>
      <c r="M12" s="11" t="s">
        <v>76</v>
      </c>
      <c r="N12" s="11">
        <v>1</v>
      </c>
      <c r="O12" s="33">
        <v>1140000</v>
      </c>
      <c r="P12" s="34">
        <v>0.1</v>
      </c>
      <c r="Q12" s="33">
        <v>620000</v>
      </c>
      <c r="R12" s="11" t="s">
        <v>30</v>
      </c>
      <c r="S12" s="14">
        <f t="shared" si="2"/>
        <v>1026000</v>
      </c>
      <c r="T12" s="14">
        <f t="shared" si="3"/>
        <v>620000</v>
      </c>
      <c r="U12" s="14">
        <f t="shared" si="4"/>
        <v>406000</v>
      </c>
      <c r="V12" s="35">
        <f t="shared" si="5"/>
        <v>0.39571150097465885</v>
      </c>
      <c r="W12" s="14">
        <f t="shared" si="6"/>
        <v>1026000</v>
      </c>
      <c r="X12" s="14">
        <f t="shared" si="7"/>
        <v>406000</v>
      </c>
      <c r="Y12" s="11">
        <f t="shared" si="8"/>
        <v>3</v>
      </c>
    </row>
    <row r="13" spans="1:27" x14ac:dyDescent="0.35">
      <c r="A13" s="11" t="s">
        <v>102</v>
      </c>
      <c r="B13" s="17">
        <v>45681</v>
      </c>
      <c r="C13" s="11">
        <f t="shared" si="0"/>
        <v>1</v>
      </c>
      <c r="D13" s="11" t="str">
        <f t="shared" si="1"/>
        <v>Q1</v>
      </c>
      <c r="E13" s="11" t="s">
        <v>103</v>
      </c>
      <c r="F13" s="11" t="s">
        <v>104</v>
      </c>
      <c r="G13" s="11" t="s">
        <v>40</v>
      </c>
      <c r="H13" s="11" t="s">
        <v>14</v>
      </c>
      <c r="I13" s="11" t="s">
        <v>105</v>
      </c>
      <c r="J13" s="11" t="s">
        <v>43</v>
      </c>
      <c r="K13" s="11" t="s">
        <v>44</v>
      </c>
      <c r="L13" s="11" t="s">
        <v>22</v>
      </c>
      <c r="M13" s="11" t="s">
        <v>106</v>
      </c>
      <c r="N13" s="11">
        <v>2</v>
      </c>
      <c r="O13" s="33">
        <v>588000</v>
      </c>
      <c r="P13" s="34">
        <v>0.1</v>
      </c>
      <c r="Q13" s="33">
        <v>260000</v>
      </c>
      <c r="R13" s="11" t="s">
        <v>30</v>
      </c>
      <c r="S13" s="14">
        <f t="shared" si="2"/>
        <v>1058400</v>
      </c>
      <c r="T13" s="14">
        <f t="shared" si="3"/>
        <v>520000</v>
      </c>
      <c r="U13" s="14">
        <f t="shared" si="4"/>
        <v>538400</v>
      </c>
      <c r="V13" s="35">
        <f t="shared" si="5"/>
        <v>0.50869236583522293</v>
      </c>
      <c r="W13" s="14">
        <f t="shared" si="6"/>
        <v>1058400</v>
      </c>
      <c r="X13" s="14">
        <f t="shared" si="7"/>
        <v>538400</v>
      </c>
      <c r="Y13" s="11">
        <f t="shared" si="8"/>
        <v>5</v>
      </c>
    </row>
    <row r="14" spans="1:27" x14ac:dyDescent="0.35">
      <c r="A14" s="11" t="s">
        <v>107</v>
      </c>
      <c r="B14" s="17">
        <v>45681</v>
      </c>
      <c r="C14" s="11">
        <f t="shared" si="0"/>
        <v>1</v>
      </c>
      <c r="D14" s="11" t="str">
        <f t="shared" si="1"/>
        <v>Q1</v>
      </c>
      <c r="E14" s="11" t="s">
        <v>38</v>
      </c>
      <c r="F14" s="11" t="s">
        <v>39</v>
      </c>
      <c r="G14" s="11" t="s">
        <v>40</v>
      </c>
      <c r="H14" s="11" t="s">
        <v>41</v>
      </c>
      <c r="I14" s="11" t="s">
        <v>42</v>
      </c>
      <c r="J14" s="11" t="s">
        <v>65</v>
      </c>
      <c r="K14" s="11" t="s">
        <v>66</v>
      </c>
      <c r="L14" s="11" t="s">
        <v>22</v>
      </c>
      <c r="M14" s="11" t="s">
        <v>88</v>
      </c>
      <c r="N14" s="11">
        <v>1</v>
      </c>
      <c r="O14" s="33">
        <v>520000</v>
      </c>
      <c r="P14" s="34">
        <v>0</v>
      </c>
      <c r="Q14" s="33">
        <v>310000</v>
      </c>
      <c r="R14" s="11" t="s">
        <v>98</v>
      </c>
      <c r="S14" s="14">
        <f t="shared" si="2"/>
        <v>520000</v>
      </c>
      <c r="T14" s="14">
        <f t="shared" si="3"/>
        <v>310000</v>
      </c>
      <c r="U14" s="14">
        <f t="shared" si="4"/>
        <v>210000</v>
      </c>
      <c r="V14" s="35">
        <f t="shared" si="5"/>
        <v>0.40384615384615385</v>
      </c>
      <c r="W14" s="14" t="str">
        <f t="shared" si="6"/>
        <v/>
      </c>
      <c r="X14" s="14" t="str">
        <f t="shared" si="7"/>
        <v/>
      </c>
      <c r="Y14" s="11">
        <f t="shared" si="8"/>
        <v>5</v>
      </c>
    </row>
    <row r="15" spans="1:27" x14ac:dyDescent="0.35">
      <c r="A15" s="11" t="s">
        <v>109</v>
      </c>
      <c r="B15" s="17">
        <v>45684</v>
      </c>
      <c r="C15" s="11">
        <f t="shared" si="0"/>
        <v>1</v>
      </c>
      <c r="D15" s="11" t="str">
        <f t="shared" si="1"/>
        <v>Q1</v>
      </c>
      <c r="E15" s="11" t="s">
        <v>110</v>
      </c>
      <c r="F15" s="11" t="s">
        <v>111</v>
      </c>
      <c r="G15" s="11" t="s">
        <v>12</v>
      </c>
      <c r="H15" s="11" t="s">
        <v>14</v>
      </c>
      <c r="I15" s="11" t="s">
        <v>70</v>
      </c>
      <c r="J15" s="11" t="s">
        <v>54</v>
      </c>
      <c r="K15" s="11" t="s">
        <v>55</v>
      </c>
      <c r="L15" s="11" t="s">
        <v>97</v>
      </c>
      <c r="M15" s="11" t="s">
        <v>76</v>
      </c>
      <c r="N15" s="11">
        <v>3</v>
      </c>
      <c r="O15" s="33">
        <v>808000</v>
      </c>
      <c r="P15" s="34">
        <v>0.1</v>
      </c>
      <c r="Q15" s="33">
        <v>520000</v>
      </c>
      <c r="R15" s="11" t="s">
        <v>30</v>
      </c>
      <c r="S15" s="14">
        <f t="shared" si="2"/>
        <v>2181600</v>
      </c>
      <c r="T15" s="14">
        <f t="shared" si="3"/>
        <v>1560000</v>
      </c>
      <c r="U15" s="14">
        <f t="shared" si="4"/>
        <v>621600</v>
      </c>
      <c r="V15" s="35">
        <f t="shared" si="5"/>
        <v>0.28492849284928495</v>
      </c>
      <c r="W15" s="14">
        <f t="shared" si="6"/>
        <v>2181600</v>
      </c>
      <c r="X15" s="14">
        <f t="shared" si="7"/>
        <v>621600</v>
      </c>
      <c r="Y15" s="11">
        <f t="shared" si="8"/>
        <v>1</v>
      </c>
    </row>
    <row r="16" spans="1:27" x14ac:dyDescent="0.35">
      <c r="A16" s="11" t="s">
        <v>112</v>
      </c>
      <c r="B16" s="17">
        <v>45685</v>
      </c>
      <c r="C16" s="11">
        <f t="shared" si="0"/>
        <v>1</v>
      </c>
      <c r="D16" s="11" t="str">
        <f t="shared" si="1"/>
        <v>Q1</v>
      </c>
      <c r="E16" s="11" t="s">
        <v>113</v>
      </c>
      <c r="F16" s="11" t="s">
        <v>114</v>
      </c>
      <c r="G16" s="11" t="s">
        <v>40</v>
      </c>
      <c r="H16" s="11" t="s">
        <v>14</v>
      </c>
      <c r="I16" s="11" t="s">
        <v>70</v>
      </c>
      <c r="J16" s="11" t="s">
        <v>18</v>
      </c>
      <c r="K16" s="11" t="s">
        <v>96</v>
      </c>
      <c r="L16" s="11" t="s">
        <v>56</v>
      </c>
      <c r="M16" s="11" t="s">
        <v>88</v>
      </c>
      <c r="N16" s="11">
        <v>1</v>
      </c>
      <c r="O16" s="33">
        <v>750000</v>
      </c>
      <c r="P16" s="34">
        <v>0</v>
      </c>
      <c r="Q16" s="33">
        <v>390000</v>
      </c>
      <c r="R16" s="11" t="s">
        <v>30</v>
      </c>
      <c r="S16" s="14">
        <f t="shared" si="2"/>
        <v>750000</v>
      </c>
      <c r="T16" s="14">
        <f t="shared" si="3"/>
        <v>390000</v>
      </c>
      <c r="U16" s="14">
        <f t="shared" si="4"/>
        <v>360000</v>
      </c>
      <c r="V16" s="35">
        <f t="shared" si="5"/>
        <v>0.48</v>
      </c>
      <c r="W16" s="14">
        <f t="shared" si="6"/>
        <v>750000</v>
      </c>
      <c r="X16" s="14">
        <f t="shared" si="7"/>
        <v>360000</v>
      </c>
      <c r="Y16" s="11">
        <f t="shared" si="8"/>
        <v>2</v>
      </c>
    </row>
    <row r="17" spans="1:25" x14ac:dyDescent="0.35">
      <c r="A17" s="11" t="s">
        <v>115</v>
      </c>
      <c r="B17" s="17">
        <v>45685</v>
      </c>
      <c r="C17" s="11">
        <f t="shared" si="0"/>
        <v>1</v>
      </c>
      <c r="D17" s="11" t="str">
        <f t="shared" si="1"/>
        <v>Q1</v>
      </c>
      <c r="E17" s="11" t="s">
        <v>61</v>
      </c>
      <c r="F17" s="11" t="s">
        <v>62</v>
      </c>
      <c r="G17" s="11" t="s">
        <v>40</v>
      </c>
      <c r="H17" s="11" t="s">
        <v>63</v>
      </c>
      <c r="I17" s="11" t="s">
        <v>64</v>
      </c>
      <c r="J17" s="11" t="s">
        <v>71</v>
      </c>
      <c r="K17" s="11" t="s">
        <v>81</v>
      </c>
      <c r="L17" s="11" t="s">
        <v>73</v>
      </c>
      <c r="M17" s="11" t="s">
        <v>88</v>
      </c>
      <c r="N17" s="11">
        <v>4</v>
      </c>
      <c r="O17" s="33">
        <v>340000</v>
      </c>
      <c r="P17" s="34">
        <v>0.15</v>
      </c>
      <c r="Q17" s="33">
        <v>220000</v>
      </c>
      <c r="R17" s="11" t="s">
        <v>30</v>
      </c>
      <c r="S17" s="14">
        <f t="shared" si="2"/>
        <v>1156000</v>
      </c>
      <c r="T17" s="14">
        <f t="shared" si="3"/>
        <v>880000</v>
      </c>
      <c r="U17" s="14">
        <f t="shared" si="4"/>
        <v>276000</v>
      </c>
      <c r="V17" s="35">
        <f t="shared" si="5"/>
        <v>0.23875432525951557</v>
      </c>
      <c r="W17" s="14">
        <f t="shared" si="6"/>
        <v>1156000</v>
      </c>
      <c r="X17" s="14">
        <f t="shared" si="7"/>
        <v>276000</v>
      </c>
      <c r="Y17" s="11">
        <f t="shared" si="8"/>
        <v>2</v>
      </c>
    </row>
    <row r="18" spans="1:25" x14ac:dyDescent="0.35">
      <c r="A18" s="11" t="s">
        <v>116</v>
      </c>
      <c r="B18" s="17">
        <v>45689</v>
      </c>
      <c r="C18" s="11">
        <f t="shared" si="0"/>
        <v>2</v>
      </c>
      <c r="D18" s="11" t="str">
        <f t="shared" si="1"/>
        <v>Q1</v>
      </c>
      <c r="E18" s="11" t="s">
        <v>118</v>
      </c>
      <c r="F18" s="11" t="s">
        <v>119</v>
      </c>
      <c r="G18" s="11" t="s">
        <v>40</v>
      </c>
      <c r="H18" s="11" t="s">
        <v>14</v>
      </c>
      <c r="I18" s="11" t="s">
        <v>16</v>
      </c>
      <c r="J18" s="11" t="s">
        <v>18</v>
      </c>
      <c r="K18" s="11" t="s">
        <v>120</v>
      </c>
      <c r="L18" s="11" t="s">
        <v>56</v>
      </c>
      <c r="M18" s="11" t="s">
        <v>24</v>
      </c>
      <c r="N18" s="11">
        <v>1</v>
      </c>
      <c r="O18" s="33">
        <v>294000</v>
      </c>
      <c r="P18" s="34">
        <v>0.2</v>
      </c>
      <c r="Q18" s="33">
        <v>130000</v>
      </c>
      <c r="R18" s="11" t="s">
        <v>30</v>
      </c>
      <c r="S18" s="14">
        <f t="shared" si="2"/>
        <v>235200</v>
      </c>
      <c r="T18" s="14">
        <f t="shared" si="3"/>
        <v>130000</v>
      </c>
      <c r="U18" s="14">
        <f t="shared" si="4"/>
        <v>105200</v>
      </c>
      <c r="V18" s="35">
        <f t="shared" si="5"/>
        <v>0.44727891156462585</v>
      </c>
      <c r="W18" s="14">
        <f t="shared" si="6"/>
        <v>235200</v>
      </c>
      <c r="X18" s="14">
        <f t="shared" si="7"/>
        <v>105200</v>
      </c>
      <c r="Y18" s="11">
        <f t="shared" si="8"/>
        <v>6</v>
      </c>
    </row>
    <row r="19" spans="1:25" x14ac:dyDescent="0.35">
      <c r="A19" s="11" t="s">
        <v>121</v>
      </c>
      <c r="B19" s="17">
        <v>45699</v>
      </c>
      <c r="C19" s="11">
        <f t="shared" si="0"/>
        <v>2</v>
      </c>
      <c r="D19" s="11" t="str">
        <f t="shared" si="1"/>
        <v>Q1</v>
      </c>
      <c r="E19" s="11" t="s">
        <v>122</v>
      </c>
      <c r="F19" s="11" t="s">
        <v>123</v>
      </c>
      <c r="G19" s="11" t="s">
        <v>40</v>
      </c>
      <c r="H19" s="11" t="s">
        <v>14</v>
      </c>
      <c r="I19" s="11" t="s">
        <v>70</v>
      </c>
      <c r="J19" s="11" t="s">
        <v>18</v>
      </c>
      <c r="K19" s="11" t="s">
        <v>20</v>
      </c>
      <c r="L19" s="11" t="s">
        <v>22</v>
      </c>
      <c r="M19" s="11" t="s">
        <v>492</v>
      </c>
      <c r="N19" s="11">
        <v>4</v>
      </c>
      <c r="O19" s="33">
        <v>1200000</v>
      </c>
      <c r="P19" s="34">
        <v>0.05</v>
      </c>
      <c r="Q19" s="33">
        <v>620000</v>
      </c>
      <c r="R19" s="11" t="s">
        <v>30</v>
      </c>
      <c r="S19" s="14">
        <f t="shared" si="2"/>
        <v>4560000</v>
      </c>
      <c r="T19" s="14">
        <f t="shared" si="3"/>
        <v>2480000</v>
      </c>
      <c r="U19" s="14">
        <f t="shared" si="4"/>
        <v>2080000</v>
      </c>
      <c r="V19" s="35">
        <f t="shared" si="5"/>
        <v>0.45614035087719296</v>
      </c>
      <c r="W19" s="14">
        <f t="shared" si="6"/>
        <v>4560000</v>
      </c>
      <c r="X19" s="14">
        <f t="shared" si="7"/>
        <v>2080000</v>
      </c>
      <c r="Y19" s="11">
        <f t="shared" si="8"/>
        <v>2</v>
      </c>
    </row>
    <row r="20" spans="1:25" x14ac:dyDescent="0.35">
      <c r="A20" s="11" t="s">
        <v>124</v>
      </c>
      <c r="B20" s="17">
        <v>45700</v>
      </c>
      <c r="C20" s="11">
        <f t="shared" si="0"/>
        <v>2</v>
      </c>
      <c r="D20" s="11" t="str">
        <f t="shared" si="1"/>
        <v>Q1</v>
      </c>
      <c r="E20" s="11" t="s">
        <v>125</v>
      </c>
      <c r="F20" s="11" t="s">
        <v>126</v>
      </c>
      <c r="G20" s="11" t="s">
        <v>40</v>
      </c>
      <c r="H20" s="11" t="s">
        <v>63</v>
      </c>
      <c r="I20" s="11" t="s">
        <v>92</v>
      </c>
      <c r="J20" s="11" t="s">
        <v>43</v>
      </c>
      <c r="K20" s="11" t="s">
        <v>127</v>
      </c>
      <c r="L20" s="11" t="s">
        <v>56</v>
      </c>
      <c r="M20" s="11" t="s">
        <v>82</v>
      </c>
      <c r="N20" s="11">
        <v>1</v>
      </c>
      <c r="O20" s="33">
        <v>320000</v>
      </c>
      <c r="P20" s="34">
        <v>0</v>
      </c>
      <c r="Q20" s="33">
        <v>150000</v>
      </c>
      <c r="R20" s="11" t="s">
        <v>30</v>
      </c>
      <c r="S20" s="14">
        <f t="shared" si="2"/>
        <v>320000</v>
      </c>
      <c r="T20" s="14">
        <f t="shared" si="3"/>
        <v>150000</v>
      </c>
      <c r="U20" s="14">
        <f t="shared" si="4"/>
        <v>170000</v>
      </c>
      <c r="V20" s="35">
        <f t="shared" si="5"/>
        <v>0.53125</v>
      </c>
      <c r="W20" s="14">
        <f t="shared" si="6"/>
        <v>320000</v>
      </c>
      <c r="X20" s="14">
        <f t="shared" si="7"/>
        <v>170000</v>
      </c>
      <c r="Y20" s="11">
        <f t="shared" si="8"/>
        <v>3</v>
      </c>
    </row>
    <row r="21" spans="1:25" x14ac:dyDescent="0.35">
      <c r="A21" s="11" t="s">
        <v>128</v>
      </c>
      <c r="B21" s="17">
        <v>45705</v>
      </c>
      <c r="C21" s="11">
        <f t="shared" si="0"/>
        <v>2</v>
      </c>
      <c r="D21" s="11" t="str">
        <f t="shared" si="1"/>
        <v>Q1</v>
      </c>
      <c r="E21" s="11" t="s">
        <v>8</v>
      </c>
      <c r="F21" s="11" t="s">
        <v>129</v>
      </c>
      <c r="G21" s="11" t="s">
        <v>40</v>
      </c>
      <c r="H21" s="11" t="s">
        <v>63</v>
      </c>
      <c r="I21" s="11" t="s">
        <v>130</v>
      </c>
      <c r="J21" s="11" t="s">
        <v>54</v>
      </c>
      <c r="K21" s="11" t="s">
        <v>131</v>
      </c>
      <c r="L21" s="11" t="s">
        <v>22</v>
      </c>
      <c r="M21" s="11" t="s">
        <v>82</v>
      </c>
      <c r="N21" s="11">
        <v>1</v>
      </c>
      <c r="O21" s="33">
        <v>690000</v>
      </c>
      <c r="P21" s="34">
        <v>0.05</v>
      </c>
      <c r="Q21" s="33">
        <v>410000</v>
      </c>
      <c r="R21" s="11" t="s">
        <v>30</v>
      </c>
      <c r="S21" s="14">
        <f t="shared" si="2"/>
        <v>655500</v>
      </c>
      <c r="T21" s="14">
        <f t="shared" si="3"/>
        <v>410000</v>
      </c>
      <c r="U21" s="14">
        <f t="shared" si="4"/>
        <v>245500</v>
      </c>
      <c r="V21" s="35">
        <f t="shared" si="5"/>
        <v>0.37452326468344777</v>
      </c>
      <c r="W21" s="14">
        <f t="shared" si="6"/>
        <v>655500</v>
      </c>
      <c r="X21" s="14">
        <f t="shared" si="7"/>
        <v>245500</v>
      </c>
      <c r="Y21" s="11">
        <f t="shared" si="8"/>
        <v>1</v>
      </c>
    </row>
    <row r="22" spans="1:25" x14ac:dyDescent="0.35">
      <c r="A22" s="11" t="s">
        <v>132</v>
      </c>
      <c r="B22" s="17">
        <v>45712</v>
      </c>
      <c r="C22" s="11">
        <f t="shared" si="0"/>
        <v>2</v>
      </c>
      <c r="D22" s="11" t="str">
        <f t="shared" si="1"/>
        <v>Q1</v>
      </c>
      <c r="E22" s="11" t="s">
        <v>133</v>
      </c>
      <c r="F22" s="11" t="s">
        <v>134</v>
      </c>
      <c r="G22" s="11" t="s">
        <v>40</v>
      </c>
      <c r="H22" s="11" t="s">
        <v>14</v>
      </c>
      <c r="I22" s="11" t="s">
        <v>135</v>
      </c>
      <c r="J22" s="11" t="s">
        <v>54</v>
      </c>
      <c r="K22" s="11" t="s">
        <v>136</v>
      </c>
      <c r="L22" s="11" t="s">
        <v>73</v>
      </c>
      <c r="M22" s="11" t="s">
        <v>57</v>
      </c>
      <c r="N22" s="11">
        <v>4</v>
      </c>
      <c r="O22" s="33">
        <v>1200000</v>
      </c>
      <c r="P22" s="34">
        <v>0.15</v>
      </c>
      <c r="Q22" s="33">
        <v>720000</v>
      </c>
      <c r="R22" s="11" t="s">
        <v>30</v>
      </c>
      <c r="S22" s="14">
        <f t="shared" si="2"/>
        <v>4080000</v>
      </c>
      <c r="T22" s="14">
        <f t="shared" si="3"/>
        <v>2880000</v>
      </c>
      <c r="U22" s="14">
        <f t="shared" si="4"/>
        <v>1200000</v>
      </c>
      <c r="V22" s="35">
        <f t="shared" si="5"/>
        <v>0.29411764705882354</v>
      </c>
      <c r="W22" s="14">
        <f t="shared" si="6"/>
        <v>4080000</v>
      </c>
      <c r="X22" s="14">
        <f t="shared" si="7"/>
        <v>1200000</v>
      </c>
      <c r="Y22" s="11">
        <f t="shared" si="8"/>
        <v>1</v>
      </c>
    </row>
    <row r="23" spans="1:25" x14ac:dyDescent="0.35">
      <c r="A23" s="11" t="s">
        <v>137</v>
      </c>
      <c r="B23" s="17">
        <v>45718</v>
      </c>
      <c r="C23" s="11">
        <f t="shared" si="0"/>
        <v>3</v>
      </c>
      <c r="D23" s="11" t="str">
        <f t="shared" si="1"/>
        <v>Q1</v>
      </c>
      <c r="E23" s="11" t="s">
        <v>138</v>
      </c>
      <c r="F23" s="11" t="s">
        <v>139</v>
      </c>
      <c r="G23" s="11" t="s">
        <v>40</v>
      </c>
      <c r="H23" s="11" t="s">
        <v>14</v>
      </c>
      <c r="I23" s="11" t="s">
        <v>70</v>
      </c>
      <c r="J23" s="11" t="s">
        <v>65</v>
      </c>
      <c r="K23" s="11" t="s">
        <v>140</v>
      </c>
      <c r="L23" s="11" t="s">
        <v>22</v>
      </c>
      <c r="M23" s="11" t="s">
        <v>57</v>
      </c>
      <c r="N23" s="11">
        <v>4</v>
      </c>
      <c r="O23" s="33">
        <v>1600000</v>
      </c>
      <c r="P23" s="34">
        <v>0.2</v>
      </c>
      <c r="Q23" s="33">
        <v>1000000</v>
      </c>
      <c r="R23" s="11" t="s">
        <v>30</v>
      </c>
      <c r="S23" s="14">
        <f t="shared" si="2"/>
        <v>5120000</v>
      </c>
      <c r="T23" s="14">
        <f t="shared" si="3"/>
        <v>4000000</v>
      </c>
      <c r="U23" s="14">
        <f t="shared" si="4"/>
        <v>1120000</v>
      </c>
      <c r="V23" s="35">
        <f t="shared" si="5"/>
        <v>0.21875</v>
      </c>
      <c r="W23" s="14">
        <f t="shared" si="6"/>
        <v>5120000</v>
      </c>
      <c r="X23" s="14">
        <f t="shared" si="7"/>
        <v>1120000</v>
      </c>
      <c r="Y23" s="11">
        <f t="shared" si="8"/>
        <v>7</v>
      </c>
    </row>
    <row r="24" spans="1:25" x14ac:dyDescent="0.35">
      <c r="A24" s="11" t="s">
        <v>141</v>
      </c>
      <c r="B24" s="17">
        <v>45719</v>
      </c>
      <c r="C24" s="11">
        <f t="shared" si="0"/>
        <v>3</v>
      </c>
      <c r="D24" s="11" t="str">
        <f t="shared" si="1"/>
        <v>Q1</v>
      </c>
      <c r="E24" s="11" t="s">
        <v>142</v>
      </c>
      <c r="F24" s="11" t="s">
        <v>143</v>
      </c>
      <c r="G24" s="11" t="s">
        <v>12</v>
      </c>
      <c r="H24" s="11" t="s">
        <v>41</v>
      </c>
      <c r="I24" s="11" t="s">
        <v>42</v>
      </c>
      <c r="J24" s="11" t="s">
        <v>65</v>
      </c>
      <c r="K24" s="11" t="s">
        <v>140</v>
      </c>
      <c r="L24" s="11" t="s">
        <v>97</v>
      </c>
      <c r="M24" s="11" t="s">
        <v>106</v>
      </c>
      <c r="N24" s="11">
        <v>6</v>
      </c>
      <c r="O24" s="33">
        <v>1520000</v>
      </c>
      <c r="P24" s="34">
        <v>0</v>
      </c>
      <c r="Q24" s="33">
        <v>1000000</v>
      </c>
      <c r="R24" s="11" t="s">
        <v>30</v>
      </c>
      <c r="S24" s="14">
        <f t="shared" si="2"/>
        <v>9120000</v>
      </c>
      <c r="T24" s="14">
        <f t="shared" si="3"/>
        <v>6000000</v>
      </c>
      <c r="U24" s="14">
        <f t="shared" si="4"/>
        <v>3120000</v>
      </c>
      <c r="V24" s="35">
        <f t="shared" si="5"/>
        <v>0.34210526315789475</v>
      </c>
      <c r="W24" s="14">
        <f t="shared" si="6"/>
        <v>9120000</v>
      </c>
      <c r="X24" s="14">
        <f t="shared" si="7"/>
        <v>3120000</v>
      </c>
      <c r="Y24" s="11">
        <f t="shared" si="8"/>
        <v>1</v>
      </c>
    </row>
    <row r="25" spans="1:25" x14ac:dyDescent="0.35">
      <c r="A25" s="11" t="s">
        <v>144</v>
      </c>
      <c r="B25" s="17">
        <v>45719</v>
      </c>
      <c r="C25" s="11">
        <f t="shared" si="0"/>
        <v>3</v>
      </c>
      <c r="D25" s="11" t="str">
        <f t="shared" si="1"/>
        <v>Q1</v>
      </c>
      <c r="E25" s="11" t="s">
        <v>146</v>
      </c>
      <c r="F25" s="11" t="s">
        <v>147</v>
      </c>
      <c r="G25" s="11" t="s">
        <v>40</v>
      </c>
      <c r="H25" s="11" t="s">
        <v>41</v>
      </c>
      <c r="I25" s="11" t="s">
        <v>80</v>
      </c>
      <c r="J25" s="11" t="s">
        <v>43</v>
      </c>
      <c r="K25" s="11" t="s">
        <v>44</v>
      </c>
      <c r="L25" s="11" t="s">
        <v>56</v>
      </c>
      <c r="M25" s="11" t="s">
        <v>88</v>
      </c>
      <c r="N25" s="11">
        <v>1</v>
      </c>
      <c r="O25" s="33">
        <v>560000</v>
      </c>
      <c r="P25" s="34">
        <v>0.15</v>
      </c>
      <c r="Q25" s="33">
        <v>260000</v>
      </c>
      <c r="R25" s="11" t="s">
        <v>30</v>
      </c>
      <c r="S25" s="14">
        <f t="shared" si="2"/>
        <v>476000</v>
      </c>
      <c r="T25" s="14">
        <f t="shared" si="3"/>
        <v>260000</v>
      </c>
      <c r="U25" s="14">
        <f t="shared" si="4"/>
        <v>216000</v>
      </c>
      <c r="V25" s="35">
        <f t="shared" si="5"/>
        <v>0.45378151260504201</v>
      </c>
      <c r="W25" s="14">
        <f t="shared" si="6"/>
        <v>476000</v>
      </c>
      <c r="X25" s="14">
        <f t="shared" si="7"/>
        <v>216000</v>
      </c>
      <c r="Y25" s="11">
        <f t="shared" si="8"/>
        <v>1</v>
      </c>
    </row>
    <row r="26" spans="1:25" x14ac:dyDescent="0.35">
      <c r="A26" s="11" t="s">
        <v>148</v>
      </c>
      <c r="B26" s="17">
        <v>45722</v>
      </c>
      <c r="C26" s="11">
        <f t="shared" si="0"/>
        <v>3</v>
      </c>
      <c r="D26" s="11" t="str">
        <f t="shared" si="1"/>
        <v>Q1</v>
      </c>
      <c r="E26" s="11" t="s">
        <v>149</v>
      </c>
      <c r="F26" s="11" t="s">
        <v>150</v>
      </c>
      <c r="G26" s="11" t="s">
        <v>40</v>
      </c>
      <c r="H26" s="11" t="s">
        <v>41</v>
      </c>
      <c r="I26" s="11" t="s">
        <v>80</v>
      </c>
      <c r="J26" s="11" t="s">
        <v>71</v>
      </c>
      <c r="K26" s="11" t="s">
        <v>72</v>
      </c>
      <c r="L26" s="11" t="s">
        <v>56</v>
      </c>
      <c r="M26" s="11" t="s">
        <v>88</v>
      </c>
      <c r="N26" s="11">
        <v>3</v>
      </c>
      <c r="O26" s="33">
        <v>210000</v>
      </c>
      <c r="P26" s="34">
        <v>0</v>
      </c>
      <c r="Q26" s="33">
        <v>120000</v>
      </c>
      <c r="R26" s="11" t="s">
        <v>30</v>
      </c>
      <c r="S26" s="14">
        <f t="shared" si="2"/>
        <v>630000</v>
      </c>
      <c r="T26" s="14">
        <f t="shared" si="3"/>
        <v>360000</v>
      </c>
      <c r="U26" s="14">
        <f t="shared" si="4"/>
        <v>270000</v>
      </c>
      <c r="V26" s="35">
        <f t="shared" si="5"/>
        <v>0.42857142857142855</v>
      </c>
      <c r="W26" s="14">
        <f t="shared" si="6"/>
        <v>630000</v>
      </c>
      <c r="X26" s="14">
        <f t="shared" si="7"/>
        <v>270000</v>
      </c>
      <c r="Y26" s="11">
        <f t="shared" si="8"/>
        <v>4</v>
      </c>
    </row>
    <row r="27" spans="1:25" x14ac:dyDescent="0.35">
      <c r="A27" s="11" t="s">
        <v>151</v>
      </c>
      <c r="B27" s="17">
        <v>45722</v>
      </c>
      <c r="C27" s="11">
        <f t="shared" si="0"/>
        <v>3</v>
      </c>
      <c r="D27" s="11" t="str">
        <f t="shared" si="1"/>
        <v>Q1</v>
      </c>
      <c r="E27" s="11" t="s">
        <v>152</v>
      </c>
      <c r="F27" s="11" t="s">
        <v>153</v>
      </c>
      <c r="G27" s="11" t="s">
        <v>40</v>
      </c>
      <c r="H27" s="11" t="s">
        <v>41</v>
      </c>
      <c r="I27" s="11" t="s">
        <v>80</v>
      </c>
      <c r="J27" s="11" t="s">
        <v>43</v>
      </c>
      <c r="K27" s="11" t="s">
        <v>127</v>
      </c>
      <c r="L27" s="11" t="s">
        <v>73</v>
      </c>
      <c r="M27" s="11" t="s">
        <v>76</v>
      </c>
      <c r="N27" s="11">
        <v>2</v>
      </c>
      <c r="O27" s="33">
        <v>320000</v>
      </c>
      <c r="P27" s="34">
        <v>0</v>
      </c>
      <c r="Q27" s="33">
        <v>150000</v>
      </c>
      <c r="R27" s="11" t="s">
        <v>30</v>
      </c>
      <c r="S27" s="14">
        <f t="shared" si="2"/>
        <v>640000</v>
      </c>
      <c r="T27" s="14">
        <f t="shared" si="3"/>
        <v>300000</v>
      </c>
      <c r="U27" s="14">
        <f t="shared" si="4"/>
        <v>340000</v>
      </c>
      <c r="V27" s="35">
        <f t="shared" si="5"/>
        <v>0.53125</v>
      </c>
      <c r="W27" s="14">
        <f t="shared" si="6"/>
        <v>640000</v>
      </c>
      <c r="X27" s="14">
        <f t="shared" si="7"/>
        <v>340000</v>
      </c>
      <c r="Y27" s="11">
        <f t="shared" si="8"/>
        <v>4</v>
      </c>
    </row>
    <row r="28" spans="1:25" x14ac:dyDescent="0.35">
      <c r="A28" s="11" t="s">
        <v>154</v>
      </c>
      <c r="B28" s="17">
        <v>45725</v>
      </c>
      <c r="C28" s="11">
        <f t="shared" si="0"/>
        <v>3</v>
      </c>
      <c r="D28" s="11" t="str">
        <f t="shared" si="1"/>
        <v>Q1</v>
      </c>
      <c r="E28" s="11" t="s">
        <v>103</v>
      </c>
      <c r="F28" s="11" t="s">
        <v>104</v>
      </c>
      <c r="G28" s="11" t="s">
        <v>40</v>
      </c>
      <c r="H28" s="11" t="s">
        <v>14</v>
      </c>
      <c r="I28" s="11" t="s">
        <v>105</v>
      </c>
      <c r="J28" s="11" t="s">
        <v>18</v>
      </c>
      <c r="K28" s="11" t="s">
        <v>20</v>
      </c>
      <c r="L28" s="11" t="s">
        <v>22</v>
      </c>
      <c r="M28" s="11" t="s">
        <v>82</v>
      </c>
      <c r="N28" s="11">
        <v>1</v>
      </c>
      <c r="O28" s="33">
        <v>1200000</v>
      </c>
      <c r="P28" s="34">
        <v>0.1</v>
      </c>
      <c r="Q28" s="33">
        <v>620000</v>
      </c>
      <c r="R28" s="11" t="s">
        <v>30</v>
      </c>
      <c r="S28" s="14">
        <f t="shared" si="2"/>
        <v>1080000</v>
      </c>
      <c r="T28" s="14">
        <f t="shared" si="3"/>
        <v>620000</v>
      </c>
      <c r="U28" s="14">
        <f t="shared" si="4"/>
        <v>460000</v>
      </c>
      <c r="V28" s="35">
        <f t="shared" si="5"/>
        <v>0.42592592592592593</v>
      </c>
      <c r="W28" s="14">
        <f t="shared" si="6"/>
        <v>1080000</v>
      </c>
      <c r="X28" s="14">
        <f t="shared" si="7"/>
        <v>460000</v>
      </c>
      <c r="Y28" s="11">
        <f t="shared" si="8"/>
        <v>7</v>
      </c>
    </row>
    <row r="29" spans="1:25" x14ac:dyDescent="0.35">
      <c r="A29" s="11" t="s">
        <v>156</v>
      </c>
      <c r="B29" s="17">
        <v>45728</v>
      </c>
      <c r="C29" s="11">
        <f t="shared" si="0"/>
        <v>3</v>
      </c>
      <c r="D29" s="11" t="str">
        <f t="shared" si="1"/>
        <v>Q1</v>
      </c>
      <c r="E29" s="11" t="s">
        <v>157</v>
      </c>
      <c r="F29" s="11" t="s">
        <v>158</v>
      </c>
      <c r="G29" s="11" t="s">
        <v>40</v>
      </c>
      <c r="H29" s="11" t="s">
        <v>41</v>
      </c>
      <c r="I29" s="11" t="s">
        <v>80</v>
      </c>
      <c r="J29" s="11" t="s">
        <v>54</v>
      </c>
      <c r="K29" s="11" t="s">
        <v>75</v>
      </c>
      <c r="L29" s="11" t="s">
        <v>73</v>
      </c>
      <c r="M29" s="11" t="s">
        <v>159</v>
      </c>
      <c r="N29" s="11">
        <v>1</v>
      </c>
      <c r="O29" s="33">
        <v>1805000</v>
      </c>
      <c r="P29" s="34">
        <v>0</v>
      </c>
      <c r="Q29" s="33">
        <v>1200000</v>
      </c>
      <c r="R29" s="11" t="s">
        <v>30</v>
      </c>
      <c r="S29" s="14">
        <f t="shared" si="2"/>
        <v>1805000</v>
      </c>
      <c r="T29" s="14">
        <f t="shared" si="3"/>
        <v>1200000</v>
      </c>
      <c r="U29" s="14">
        <f t="shared" si="4"/>
        <v>605000</v>
      </c>
      <c r="V29" s="35">
        <f t="shared" si="5"/>
        <v>0.33518005540166207</v>
      </c>
      <c r="W29" s="14">
        <f t="shared" si="6"/>
        <v>1805000</v>
      </c>
      <c r="X29" s="14">
        <f t="shared" si="7"/>
        <v>605000</v>
      </c>
      <c r="Y29" s="11">
        <f t="shared" si="8"/>
        <v>3</v>
      </c>
    </row>
    <row r="30" spans="1:25" x14ac:dyDescent="0.35">
      <c r="A30" s="11" t="s">
        <v>160</v>
      </c>
      <c r="B30" s="17">
        <v>45728</v>
      </c>
      <c r="C30" s="11">
        <f t="shared" si="0"/>
        <v>3</v>
      </c>
      <c r="D30" s="11" t="str">
        <f t="shared" si="1"/>
        <v>Q1</v>
      </c>
      <c r="E30" s="11" t="s">
        <v>161</v>
      </c>
      <c r="F30" s="11" t="s">
        <v>162</v>
      </c>
      <c r="G30" s="11" t="s">
        <v>12</v>
      </c>
      <c r="H30" s="11" t="s">
        <v>14</v>
      </c>
      <c r="I30" s="11" t="s">
        <v>135</v>
      </c>
      <c r="J30" s="11" t="s">
        <v>18</v>
      </c>
      <c r="K30" s="11" t="s">
        <v>120</v>
      </c>
      <c r="L30" s="11" t="s">
        <v>73</v>
      </c>
      <c r="M30" s="11" t="s">
        <v>88</v>
      </c>
      <c r="N30" s="11">
        <v>5</v>
      </c>
      <c r="O30" s="33">
        <v>280000</v>
      </c>
      <c r="P30" s="34">
        <v>0.15</v>
      </c>
      <c r="Q30" s="33">
        <v>130000</v>
      </c>
      <c r="R30" s="11" t="s">
        <v>58</v>
      </c>
      <c r="S30" s="14">
        <f t="shared" si="2"/>
        <v>1190000</v>
      </c>
      <c r="T30" s="14">
        <f t="shared" si="3"/>
        <v>650000</v>
      </c>
      <c r="U30" s="14">
        <f t="shared" si="4"/>
        <v>540000</v>
      </c>
      <c r="V30" s="35">
        <f t="shared" si="5"/>
        <v>0.45378151260504201</v>
      </c>
      <c r="W30" s="14" t="str">
        <f t="shared" si="6"/>
        <v/>
      </c>
      <c r="X30" s="14" t="str">
        <f t="shared" si="7"/>
        <v/>
      </c>
      <c r="Y30" s="11">
        <f t="shared" si="8"/>
        <v>3</v>
      </c>
    </row>
    <row r="31" spans="1:25" x14ac:dyDescent="0.35">
      <c r="A31" s="11" t="s">
        <v>163</v>
      </c>
      <c r="B31" s="17">
        <v>45728</v>
      </c>
      <c r="C31" s="11">
        <f t="shared" si="0"/>
        <v>3</v>
      </c>
      <c r="D31" s="11" t="str">
        <f t="shared" si="1"/>
        <v>Q1</v>
      </c>
      <c r="E31" s="11" t="s">
        <v>164</v>
      </c>
      <c r="F31" s="11" t="s">
        <v>165</v>
      </c>
      <c r="G31" s="11" t="s">
        <v>12</v>
      </c>
      <c r="H31" s="11" t="s">
        <v>14</v>
      </c>
      <c r="I31" s="11" t="s">
        <v>16</v>
      </c>
      <c r="J31" s="11" t="s">
        <v>54</v>
      </c>
      <c r="K31" s="11" t="s">
        <v>75</v>
      </c>
      <c r="L31" s="11" t="s">
        <v>22</v>
      </c>
      <c r="M31" s="11" t="s">
        <v>159</v>
      </c>
      <c r="N31" s="11">
        <v>5</v>
      </c>
      <c r="O31" s="33">
        <v>1900000</v>
      </c>
      <c r="P31" s="34">
        <v>0.15</v>
      </c>
      <c r="Q31" s="33">
        <v>1200000</v>
      </c>
      <c r="R31" s="11" t="s">
        <v>30</v>
      </c>
      <c r="S31" s="14">
        <f t="shared" si="2"/>
        <v>8075000</v>
      </c>
      <c r="T31" s="14">
        <f t="shared" si="3"/>
        <v>6000000</v>
      </c>
      <c r="U31" s="14">
        <f t="shared" si="4"/>
        <v>2075000</v>
      </c>
      <c r="V31" s="35">
        <f t="shared" si="5"/>
        <v>0.25696594427244585</v>
      </c>
      <c r="W31" s="14">
        <f t="shared" si="6"/>
        <v>8075000</v>
      </c>
      <c r="X31" s="14">
        <f t="shared" si="7"/>
        <v>2075000</v>
      </c>
      <c r="Y31" s="11">
        <f t="shared" si="8"/>
        <v>3</v>
      </c>
    </row>
    <row r="32" spans="1:25" x14ac:dyDescent="0.35">
      <c r="A32" s="11" t="s">
        <v>166</v>
      </c>
      <c r="B32" s="17">
        <v>45730</v>
      </c>
      <c r="C32" s="11">
        <f t="shared" si="0"/>
        <v>3</v>
      </c>
      <c r="D32" s="11" t="str">
        <f t="shared" si="1"/>
        <v>Q1</v>
      </c>
      <c r="E32" s="11" t="s">
        <v>167</v>
      </c>
      <c r="F32" s="11" t="s">
        <v>168</v>
      </c>
      <c r="G32" s="11" t="s">
        <v>40</v>
      </c>
      <c r="H32" s="11" t="s">
        <v>63</v>
      </c>
      <c r="I32" s="11" t="s">
        <v>92</v>
      </c>
      <c r="J32" s="11" t="s">
        <v>43</v>
      </c>
      <c r="K32" s="11" t="s">
        <v>127</v>
      </c>
      <c r="L32" s="11" t="s">
        <v>73</v>
      </c>
      <c r="M32" s="11" t="s">
        <v>24</v>
      </c>
      <c r="N32" s="11">
        <v>1</v>
      </c>
      <c r="O32" s="33">
        <v>304000</v>
      </c>
      <c r="P32" s="34">
        <v>0</v>
      </c>
      <c r="Q32" s="33">
        <v>150000</v>
      </c>
      <c r="R32" s="11" t="s">
        <v>30</v>
      </c>
      <c r="S32" s="14">
        <f t="shared" si="2"/>
        <v>304000</v>
      </c>
      <c r="T32" s="14">
        <f t="shared" si="3"/>
        <v>150000</v>
      </c>
      <c r="U32" s="14">
        <f t="shared" si="4"/>
        <v>154000</v>
      </c>
      <c r="V32" s="35">
        <f t="shared" si="5"/>
        <v>0.50657894736842102</v>
      </c>
      <c r="W32" s="14">
        <f t="shared" si="6"/>
        <v>304000</v>
      </c>
      <c r="X32" s="14">
        <f t="shared" si="7"/>
        <v>154000</v>
      </c>
      <c r="Y32" s="11">
        <f t="shared" si="8"/>
        <v>5</v>
      </c>
    </row>
    <row r="33" spans="1:25" x14ac:dyDescent="0.35">
      <c r="A33" s="11" t="s">
        <v>169</v>
      </c>
      <c r="B33" s="17">
        <v>45737</v>
      </c>
      <c r="C33" s="11">
        <f t="shared" si="0"/>
        <v>3</v>
      </c>
      <c r="D33" s="11" t="str">
        <f t="shared" si="1"/>
        <v>Q1</v>
      </c>
      <c r="E33" s="11" t="s">
        <v>90</v>
      </c>
      <c r="F33" s="11" t="s">
        <v>91</v>
      </c>
      <c r="G33" s="11" t="s">
        <v>40</v>
      </c>
      <c r="H33" s="11" t="s">
        <v>63</v>
      </c>
      <c r="I33" s="11" t="s">
        <v>92</v>
      </c>
      <c r="J33" s="11" t="s">
        <v>54</v>
      </c>
      <c r="K33" s="11" t="s">
        <v>136</v>
      </c>
      <c r="L33" s="11" t="s">
        <v>22</v>
      </c>
      <c r="M33" s="11" t="s">
        <v>49</v>
      </c>
      <c r="N33" s="11">
        <v>2</v>
      </c>
      <c r="O33" s="33">
        <v>1260000</v>
      </c>
      <c r="P33" s="34">
        <v>0</v>
      </c>
      <c r="Q33" s="33">
        <v>720000</v>
      </c>
      <c r="R33" s="11" t="s">
        <v>30</v>
      </c>
      <c r="S33" s="14">
        <f t="shared" si="2"/>
        <v>2520000</v>
      </c>
      <c r="T33" s="14">
        <f t="shared" si="3"/>
        <v>1440000</v>
      </c>
      <c r="U33" s="14">
        <f t="shared" si="4"/>
        <v>1080000</v>
      </c>
      <c r="V33" s="35">
        <f t="shared" si="5"/>
        <v>0.42857142857142855</v>
      </c>
      <c r="W33" s="14">
        <f t="shared" si="6"/>
        <v>2520000</v>
      </c>
      <c r="X33" s="14">
        <f t="shared" si="7"/>
        <v>1080000</v>
      </c>
      <c r="Y33" s="11">
        <f t="shared" si="8"/>
        <v>5</v>
      </c>
    </row>
    <row r="34" spans="1:25" x14ac:dyDescent="0.35">
      <c r="A34" s="11" t="s">
        <v>170</v>
      </c>
      <c r="B34" s="17">
        <v>45737</v>
      </c>
      <c r="C34" s="11">
        <f t="shared" ref="C34:C65" si="9">MONTH(B34)</f>
        <v>3</v>
      </c>
      <c r="D34" s="11" t="str">
        <f t="shared" ref="D34:D65" si="10">"Q"&amp;ROUNDUP(C34/3,0)</f>
        <v>Q1</v>
      </c>
      <c r="E34" s="11" t="s">
        <v>171</v>
      </c>
      <c r="F34" s="11" t="s">
        <v>172</v>
      </c>
      <c r="G34" s="11" t="s">
        <v>12</v>
      </c>
      <c r="H34" s="11" t="s">
        <v>41</v>
      </c>
      <c r="I34" s="11" t="s">
        <v>173</v>
      </c>
      <c r="J34" s="11" t="s">
        <v>71</v>
      </c>
      <c r="K34" s="11" t="s">
        <v>72</v>
      </c>
      <c r="L34" s="11" t="s">
        <v>97</v>
      </c>
      <c r="M34" s="11" t="s">
        <v>159</v>
      </c>
      <c r="N34" s="11">
        <v>2</v>
      </c>
      <c r="O34" s="33">
        <v>210000</v>
      </c>
      <c r="P34" s="34">
        <v>0.1</v>
      </c>
      <c r="Q34" s="33">
        <v>120000</v>
      </c>
      <c r="R34" s="11" t="s">
        <v>30</v>
      </c>
      <c r="S34" s="14">
        <f t="shared" ref="S34:S65" si="11">N34*O34*(1-P34)</f>
        <v>378000</v>
      </c>
      <c r="T34" s="14">
        <f t="shared" ref="T34:T65" si="12">N34*Q34</f>
        <v>240000</v>
      </c>
      <c r="U34" s="14">
        <f t="shared" ref="U34:U65" si="13">S34-T34</f>
        <v>138000</v>
      </c>
      <c r="V34" s="35">
        <f t="shared" ref="V34:V65" si="14">IF(S34=0,0,U34/S34)</f>
        <v>0.36507936507936506</v>
      </c>
      <c r="W34" s="14">
        <f t="shared" ref="W34:W65" si="15">IF(R34="Hoàn thành",S34,"")</f>
        <v>378000</v>
      </c>
      <c r="X34" s="14">
        <f t="shared" ref="X34:X65" si="16">IF(R34="Hoàn thành",U34,"")</f>
        <v>138000</v>
      </c>
      <c r="Y34" s="11">
        <f t="shared" ref="Y34:Y65" si="17">WEEKDAY(B34,2)</f>
        <v>5</v>
      </c>
    </row>
    <row r="35" spans="1:25" x14ac:dyDescent="0.35">
      <c r="A35" s="11" t="s">
        <v>174</v>
      </c>
      <c r="B35" s="17">
        <v>45737</v>
      </c>
      <c r="C35" s="11">
        <f t="shared" si="9"/>
        <v>3</v>
      </c>
      <c r="D35" s="11" t="str">
        <f t="shared" si="10"/>
        <v>Q1</v>
      </c>
      <c r="E35" s="11" t="s">
        <v>175</v>
      </c>
      <c r="F35" s="11" t="s">
        <v>176</v>
      </c>
      <c r="G35" s="11" t="s">
        <v>12</v>
      </c>
      <c r="H35" s="11" t="s">
        <v>41</v>
      </c>
      <c r="I35" s="11" t="s">
        <v>80</v>
      </c>
      <c r="J35" s="11" t="s">
        <v>54</v>
      </c>
      <c r="K35" s="11" t="s">
        <v>75</v>
      </c>
      <c r="L35" s="11" t="s">
        <v>22</v>
      </c>
      <c r="M35" s="11" t="s">
        <v>24</v>
      </c>
      <c r="N35" s="11">
        <v>10</v>
      </c>
      <c r="O35" s="33">
        <v>1995000</v>
      </c>
      <c r="P35" s="34">
        <v>0.15</v>
      </c>
      <c r="Q35" s="33">
        <v>1200000</v>
      </c>
      <c r="R35" s="11" t="s">
        <v>30</v>
      </c>
      <c r="S35" s="14">
        <f t="shared" si="11"/>
        <v>16957500</v>
      </c>
      <c r="T35" s="14">
        <f t="shared" si="12"/>
        <v>12000000</v>
      </c>
      <c r="U35" s="14">
        <f t="shared" si="13"/>
        <v>4957500</v>
      </c>
      <c r="V35" s="35">
        <f t="shared" si="14"/>
        <v>0.29234851835471032</v>
      </c>
      <c r="W35" s="14">
        <f t="shared" si="15"/>
        <v>16957500</v>
      </c>
      <c r="X35" s="14">
        <f t="shared" si="16"/>
        <v>4957500</v>
      </c>
      <c r="Y35" s="11">
        <f t="shared" si="17"/>
        <v>5</v>
      </c>
    </row>
    <row r="36" spans="1:25" x14ac:dyDescent="0.35">
      <c r="A36" s="11" t="s">
        <v>177</v>
      </c>
      <c r="B36" s="17">
        <v>45737</v>
      </c>
      <c r="C36" s="11">
        <f t="shared" si="9"/>
        <v>3</v>
      </c>
      <c r="D36" s="11" t="str">
        <f t="shared" si="10"/>
        <v>Q1</v>
      </c>
      <c r="E36" s="11" t="s">
        <v>178</v>
      </c>
      <c r="F36" s="11" t="s">
        <v>179</v>
      </c>
      <c r="G36" s="11" t="s">
        <v>40</v>
      </c>
      <c r="H36" s="11" t="s">
        <v>41</v>
      </c>
      <c r="I36" s="11" t="s">
        <v>80</v>
      </c>
      <c r="J36" s="11" t="s">
        <v>43</v>
      </c>
      <c r="K36" s="11" t="s">
        <v>127</v>
      </c>
      <c r="L36" s="11" t="s">
        <v>73</v>
      </c>
      <c r="M36" s="11" t="s">
        <v>49</v>
      </c>
      <c r="N36" s="11">
        <v>1</v>
      </c>
      <c r="O36" s="33">
        <v>320000</v>
      </c>
      <c r="P36" s="34">
        <v>0</v>
      </c>
      <c r="Q36" s="33">
        <v>150000</v>
      </c>
      <c r="R36" s="11" t="s">
        <v>30</v>
      </c>
      <c r="S36" s="14">
        <f t="shared" si="11"/>
        <v>320000</v>
      </c>
      <c r="T36" s="14">
        <f t="shared" si="12"/>
        <v>150000</v>
      </c>
      <c r="U36" s="14">
        <f t="shared" si="13"/>
        <v>170000</v>
      </c>
      <c r="V36" s="35">
        <f t="shared" si="14"/>
        <v>0.53125</v>
      </c>
      <c r="W36" s="14">
        <f t="shared" si="15"/>
        <v>320000</v>
      </c>
      <c r="X36" s="14">
        <f t="shared" si="16"/>
        <v>170000</v>
      </c>
      <c r="Y36" s="11">
        <f t="shared" si="17"/>
        <v>5</v>
      </c>
    </row>
    <row r="37" spans="1:25" x14ac:dyDescent="0.35">
      <c r="A37" s="11" t="s">
        <v>180</v>
      </c>
      <c r="B37" s="17">
        <v>45741</v>
      </c>
      <c r="C37" s="11">
        <f t="shared" si="9"/>
        <v>3</v>
      </c>
      <c r="D37" s="11" t="str">
        <f t="shared" si="10"/>
        <v>Q1</v>
      </c>
      <c r="E37" s="11" t="s">
        <v>181</v>
      </c>
      <c r="F37" s="11" t="s">
        <v>182</v>
      </c>
      <c r="G37" s="11" t="s">
        <v>40</v>
      </c>
      <c r="H37" s="11" t="s">
        <v>41</v>
      </c>
      <c r="I37" s="11" t="s">
        <v>173</v>
      </c>
      <c r="J37" s="11" t="s">
        <v>54</v>
      </c>
      <c r="K37" s="11" t="s">
        <v>131</v>
      </c>
      <c r="L37" s="11" t="s">
        <v>56</v>
      </c>
      <c r="M37" s="11" t="s">
        <v>76</v>
      </c>
      <c r="N37" s="11">
        <v>2</v>
      </c>
      <c r="O37" s="33">
        <v>690000</v>
      </c>
      <c r="P37" s="34">
        <v>0</v>
      </c>
      <c r="Q37" s="33">
        <v>410000</v>
      </c>
      <c r="R37" s="11" t="s">
        <v>30</v>
      </c>
      <c r="S37" s="14">
        <f t="shared" si="11"/>
        <v>1380000</v>
      </c>
      <c r="T37" s="14">
        <f t="shared" si="12"/>
        <v>820000</v>
      </c>
      <c r="U37" s="14">
        <f t="shared" si="13"/>
        <v>560000</v>
      </c>
      <c r="V37" s="35">
        <f t="shared" si="14"/>
        <v>0.40579710144927539</v>
      </c>
      <c r="W37" s="14">
        <f t="shared" si="15"/>
        <v>1380000</v>
      </c>
      <c r="X37" s="14">
        <f t="shared" si="16"/>
        <v>560000</v>
      </c>
      <c r="Y37" s="11">
        <f t="shared" si="17"/>
        <v>2</v>
      </c>
    </row>
    <row r="38" spans="1:25" x14ac:dyDescent="0.35">
      <c r="A38" s="11" t="s">
        <v>183</v>
      </c>
      <c r="B38" s="17">
        <v>45744</v>
      </c>
      <c r="C38" s="11">
        <f t="shared" si="9"/>
        <v>3</v>
      </c>
      <c r="D38" s="11" t="str">
        <f t="shared" si="10"/>
        <v>Q1</v>
      </c>
      <c r="E38" s="11" t="s">
        <v>149</v>
      </c>
      <c r="F38" s="11" t="s">
        <v>150</v>
      </c>
      <c r="G38" s="11" t="s">
        <v>40</v>
      </c>
      <c r="H38" s="11" t="s">
        <v>41</v>
      </c>
      <c r="I38" s="11" t="s">
        <v>80</v>
      </c>
      <c r="J38" s="11" t="s">
        <v>54</v>
      </c>
      <c r="K38" s="11" t="s">
        <v>131</v>
      </c>
      <c r="L38" s="11" t="s">
        <v>56</v>
      </c>
      <c r="M38" s="11" t="s">
        <v>76</v>
      </c>
      <c r="N38" s="11">
        <v>1</v>
      </c>
      <c r="O38" s="33">
        <v>724000</v>
      </c>
      <c r="P38" s="34">
        <v>0</v>
      </c>
      <c r="Q38" s="33">
        <v>410000</v>
      </c>
      <c r="R38" s="11" t="s">
        <v>30</v>
      </c>
      <c r="S38" s="14">
        <f t="shared" si="11"/>
        <v>724000</v>
      </c>
      <c r="T38" s="14">
        <f t="shared" si="12"/>
        <v>410000</v>
      </c>
      <c r="U38" s="14">
        <f t="shared" si="13"/>
        <v>314000</v>
      </c>
      <c r="V38" s="35">
        <f t="shared" si="14"/>
        <v>0.43370165745856354</v>
      </c>
      <c r="W38" s="14">
        <f t="shared" si="15"/>
        <v>724000</v>
      </c>
      <c r="X38" s="14">
        <f t="shared" si="16"/>
        <v>314000</v>
      </c>
      <c r="Y38" s="11">
        <f t="shared" si="17"/>
        <v>5</v>
      </c>
    </row>
    <row r="39" spans="1:25" x14ac:dyDescent="0.35">
      <c r="A39" s="11" t="s">
        <v>184</v>
      </c>
      <c r="B39" s="17">
        <v>45745</v>
      </c>
      <c r="C39" s="11">
        <f t="shared" si="9"/>
        <v>3</v>
      </c>
      <c r="D39" s="11" t="str">
        <f t="shared" si="10"/>
        <v>Q1</v>
      </c>
      <c r="E39" s="11" t="s">
        <v>185</v>
      </c>
      <c r="F39" s="11" t="s">
        <v>186</v>
      </c>
      <c r="G39" s="11" t="s">
        <v>40</v>
      </c>
      <c r="H39" s="11" t="s">
        <v>41</v>
      </c>
      <c r="I39" s="11" t="s">
        <v>42</v>
      </c>
      <c r="J39" s="11" t="s">
        <v>71</v>
      </c>
      <c r="K39" s="11" t="s">
        <v>72</v>
      </c>
      <c r="L39" s="11" t="s">
        <v>56</v>
      </c>
      <c r="M39" s="11" t="s">
        <v>492</v>
      </c>
      <c r="N39" s="11">
        <v>1</v>
      </c>
      <c r="O39" s="33">
        <v>210000</v>
      </c>
      <c r="P39" s="34">
        <v>0.05</v>
      </c>
      <c r="Q39" s="33">
        <v>120000</v>
      </c>
      <c r="R39" s="11" t="s">
        <v>30</v>
      </c>
      <c r="S39" s="14">
        <f t="shared" si="11"/>
        <v>199500</v>
      </c>
      <c r="T39" s="14">
        <f t="shared" si="12"/>
        <v>120000</v>
      </c>
      <c r="U39" s="14">
        <f t="shared" si="13"/>
        <v>79500</v>
      </c>
      <c r="V39" s="35">
        <f t="shared" si="14"/>
        <v>0.39849624060150374</v>
      </c>
      <c r="W39" s="14">
        <f t="shared" si="15"/>
        <v>199500</v>
      </c>
      <c r="X39" s="14">
        <f t="shared" si="16"/>
        <v>79500</v>
      </c>
      <c r="Y39" s="11">
        <f t="shared" si="17"/>
        <v>6</v>
      </c>
    </row>
    <row r="40" spans="1:25" x14ac:dyDescent="0.35">
      <c r="A40" s="11" t="s">
        <v>187</v>
      </c>
      <c r="B40" s="17">
        <v>45746</v>
      </c>
      <c r="C40" s="11">
        <f t="shared" si="9"/>
        <v>3</v>
      </c>
      <c r="D40" s="11" t="str">
        <f t="shared" si="10"/>
        <v>Q1</v>
      </c>
      <c r="E40" s="11" t="s">
        <v>188</v>
      </c>
      <c r="F40" s="11" t="s">
        <v>189</v>
      </c>
      <c r="G40" s="11" t="s">
        <v>40</v>
      </c>
      <c r="H40" s="11" t="s">
        <v>14</v>
      </c>
      <c r="I40" s="11" t="s">
        <v>16</v>
      </c>
      <c r="J40" s="11" t="s">
        <v>18</v>
      </c>
      <c r="K40" s="11" t="s">
        <v>96</v>
      </c>
      <c r="L40" s="11" t="s">
        <v>73</v>
      </c>
      <c r="M40" s="11" t="s">
        <v>88</v>
      </c>
      <c r="N40" s="11">
        <v>1</v>
      </c>
      <c r="O40" s="33">
        <v>750000</v>
      </c>
      <c r="P40" s="34">
        <v>0.15</v>
      </c>
      <c r="Q40" s="33">
        <v>390000</v>
      </c>
      <c r="R40" s="11" t="s">
        <v>30</v>
      </c>
      <c r="S40" s="14">
        <f t="shared" si="11"/>
        <v>637500</v>
      </c>
      <c r="T40" s="14">
        <f t="shared" si="12"/>
        <v>390000</v>
      </c>
      <c r="U40" s="14">
        <f t="shared" si="13"/>
        <v>247500</v>
      </c>
      <c r="V40" s="35">
        <f t="shared" si="14"/>
        <v>0.38823529411764707</v>
      </c>
      <c r="W40" s="14">
        <f t="shared" si="15"/>
        <v>637500</v>
      </c>
      <c r="X40" s="14">
        <f t="shared" si="16"/>
        <v>247500</v>
      </c>
      <c r="Y40" s="11">
        <f t="shared" si="17"/>
        <v>7</v>
      </c>
    </row>
    <row r="41" spans="1:25" x14ac:dyDescent="0.35">
      <c r="A41" s="11" t="s">
        <v>190</v>
      </c>
      <c r="B41" s="17">
        <v>45749</v>
      </c>
      <c r="C41" s="11">
        <f t="shared" si="9"/>
        <v>4</v>
      </c>
      <c r="D41" s="11" t="str">
        <f t="shared" si="10"/>
        <v>Q2</v>
      </c>
      <c r="E41" s="11" t="s">
        <v>61</v>
      </c>
      <c r="F41" s="11" t="s">
        <v>62</v>
      </c>
      <c r="G41" s="11" t="s">
        <v>40</v>
      </c>
      <c r="H41" s="11" t="s">
        <v>63</v>
      </c>
      <c r="I41" s="11" t="s">
        <v>64</v>
      </c>
      <c r="J41" s="11" t="s">
        <v>18</v>
      </c>
      <c r="K41" s="11" t="s">
        <v>93</v>
      </c>
      <c r="L41" s="11" t="s">
        <v>22</v>
      </c>
      <c r="M41" s="11" t="s">
        <v>57</v>
      </c>
      <c r="N41" s="11">
        <v>1</v>
      </c>
      <c r="O41" s="33">
        <v>1500000</v>
      </c>
      <c r="P41" s="34">
        <v>0</v>
      </c>
      <c r="Q41" s="33">
        <v>800000</v>
      </c>
      <c r="R41" s="11" t="s">
        <v>30</v>
      </c>
      <c r="S41" s="14">
        <f t="shared" si="11"/>
        <v>1500000</v>
      </c>
      <c r="T41" s="14">
        <f t="shared" si="12"/>
        <v>800000</v>
      </c>
      <c r="U41" s="14">
        <f t="shared" si="13"/>
        <v>700000</v>
      </c>
      <c r="V41" s="35">
        <f t="shared" si="14"/>
        <v>0.46666666666666667</v>
      </c>
      <c r="W41" s="14">
        <f t="shared" si="15"/>
        <v>1500000</v>
      </c>
      <c r="X41" s="14">
        <f t="shared" si="16"/>
        <v>700000</v>
      </c>
      <c r="Y41" s="11">
        <f t="shared" si="17"/>
        <v>3</v>
      </c>
    </row>
    <row r="42" spans="1:25" x14ac:dyDescent="0.35">
      <c r="A42" s="11" t="s">
        <v>191</v>
      </c>
      <c r="B42" s="17">
        <v>45749</v>
      </c>
      <c r="C42" s="11">
        <f t="shared" si="9"/>
        <v>4</v>
      </c>
      <c r="D42" s="11" t="str">
        <f t="shared" si="10"/>
        <v>Q2</v>
      </c>
      <c r="E42" s="11" t="s">
        <v>161</v>
      </c>
      <c r="F42" s="11" t="s">
        <v>162</v>
      </c>
      <c r="G42" s="11" t="s">
        <v>12</v>
      </c>
      <c r="H42" s="11" t="s">
        <v>14</v>
      </c>
      <c r="I42" s="11" t="s">
        <v>135</v>
      </c>
      <c r="J42" s="11" t="s">
        <v>43</v>
      </c>
      <c r="K42" s="11" t="s">
        <v>127</v>
      </c>
      <c r="L42" s="11" t="s">
        <v>22</v>
      </c>
      <c r="M42" s="11" t="s">
        <v>82</v>
      </c>
      <c r="N42" s="11">
        <v>6</v>
      </c>
      <c r="O42" s="33">
        <v>320000</v>
      </c>
      <c r="P42" s="34">
        <v>0</v>
      </c>
      <c r="Q42" s="33">
        <v>150000</v>
      </c>
      <c r="R42" s="11" t="s">
        <v>30</v>
      </c>
      <c r="S42" s="14">
        <f t="shared" si="11"/>
        <v>1920000</v>
      </c>
      <c r="T42" s="14">
        <f t="shared" si="12"/>
        <v>900000</v>
      </c>
      <c r="U42" s="14">
        <f t="shared" si="13"/>
        <v>1020000</v>
      </c>
      <c r="V42" s="35">
        <f t="shared" si="14"/>
        <v>0.53125</v>
      </c>
      <c r="W42" s="14">
        <f t="shared" si="15"/>
        <v>1920000</v>
      </c>
      <c r="X42" s="14">
        <f t="shared" si="16"/>
        <v>1020000</v>
      </c>
      <c r="Y42" s="11">
        <f t="shared" si="17"/>
        <v>3</v>
      </c>
    </row>
    <row r="43" spans="1:25" x14ac:dyDescent="0.35">
      <c r="A43" s="11" t="s">
        <v>192</v>
      </c>
      <c r="B43" s="17">
        <v>45751</v>
      </c>
      <c r="C43" s="11">
        <f t="shared" si="9"/>
        <v>4</v>
      </c>
      <c r="D43" s="11" t="str">
        <f t="shared" si="10"/>
        <v>Q2</v>
      </c>
      <c r="E43" s="11" t="s">
        <v>193</v>
      </c>
      <c r="F43" s="11" t="s">
        <v>194</v>
      </c>
      <c r="G43" s="11" t="s">
        <v>12</v>
      </c>
      <c r="H43" s="11" t="s">
        <v>14</v>
      </c>
      <c r="I43" s="11" t="s">
        <v>70</v>
      </c>
      <c r="J43" s="11" t="s">
        <v>54</v>
      </c>
      <c r="K43" s="11" t="s">
        <v>136</v>
      </c>
      <c r="L43" s="11" t="s">
        <v>73</v>
      </c>
      <c r="M43" s="11" t="s">
        <v>24</v>
      </c>
      <c r="N43" s="11">
        <v>6</v>
      </c>
      <c r="O43" s="33">
        <v>1200000</v>
      </c>
      <c r="P43" s="34">
        <v>0.15</v>
      </c>
      <c r="Q43" s="33">
        <v>720000</v>
      </c>
      <c r="R43" s="11" t="s">
        <v>30</v>
      </c>
      <c r="S43" s="14">
        <f t="shared" si="11"/>
        <v>6120000</v>
      </c>
      <c r="T43" s="14">
        <f t="shared" si="12"/>
        <v>4320000</v>
      </c>
      <c r="U43" s="14">
        <f t="shared" si="13"/>
        <v>1800000</v>
      </c>
      <c r="V43" s="35">
        <f t="shared" si="14"/>
        <v>0.29411764705882354</v>
      </c>
      <c r="W43" s="14">
        <f t="shared" si="15"/>
        <v>6120000</v>
      </c>
      <c r="X43" s="14">
        <f t="shared" si="16"/>
        <v>1800000</v>
      </c>
      <c r="Y43" s="11">
        <f t="shared" si="17"/>
        <v>5</v>
      </c>
    </row>
    <row r="44" spans="1:25" x14ac:dyDescent="0.35">
      <c r="A44" s="11" t="s">
        <v>195</v>
      </c>
      <c r="B44" s="17">
        <v>45755</v>
      </c>
      <c r="C44" s="11">
        <f t="shared" si="9"/>
        <v>4</v>
      </c>
      <c r="D44" s="11" t="str">
        <f t="shared" si="10"/>
        <v>Q2</v>
      </c>
      <c r="E44" s="11" t="s">
        <v>196</v>
      </c>
      <c r="F44" s="11" t="s">
        <v>197</v>
      </c>
      <c r="G44" s="11" t="s">
        <v>40</v>
      </c>
      <c r="H44" s="11" t="s">
        <v>41</v>
      </c>
      <c r="I44" s="11" t="s">
        <v>42</v>
      </c>
      <c r="J44" s="11" t="s">
        <v>18</v>
      </c>
      <c r="K44" s="11" t="s">
        <v>20</v>
      </c>
      <c r="L44" s="11" t="s">
        <v>73</v>
      </c>
      <c r="M44" s="11" t="s">
        <v>57</v>
      </c>
      <c r="N44" s="11">
        <v>2</v>
      </c>
      <c r="O44" s="33">
        <v>1200000</v>
      </c>
      <c r="P44" s="34">
        <v>0.2</v>
      </c>
      <c r="Q44" s="33">
        <v>620000</v>
      </c>
      <c r="R44" s="11" t="s">
        <v>30</v>
      </c>
      <c r="S44" s="14">
        <f t="shared" si="11"/>
        <v>1920000</v>
      </c>
      <c r="T44" s="14">
        <f t="shared" si="12"/>
        <v>1240000</v>
      </c>
      <c r="U44" s="14">
        <f t="shared" si="13"/>
        <v>680000</v>
      </c>
      <c r="V44" s="35">
        <f t="shared" si="14"/>
        <v>0.35416666666666669</v>
      </c>
      <c r="W44" s="14">
        <f t="shared" si="15"/>
        <v>1920000</v>
      </c>
      <c r="X44" s="14">
        <f t="shared" si="16"/>
        <v>680000</v>
      </c>
      <c r="Y44" s="11">
        <f t="shared" si="17"/>
        <v>2</v>
      </c>
    </row>
    <row r="45" spans="1:25" x14ac:dyDescent="0.35">
      <c r="A45" s="11" t="s">
        <v>198</v>
      </c>
      <c r="B45" s="17">
        <v>45756</v>
      </c>
      <c r="C45" s="11">
        <f t="shared" si="9"/>
        <v>4</v>
      </c>
      <c r="D45" s="11" t="str">
        <f t="shared" si="10"/>
        <v>Q2</v>
      </c>
      <c r="E45" s="11" t="s">
        <v>52</v>
      </c>
      <c r="F45" s="11" t="s">
        <v>53</v>
      </c>
      <c r="G45" s="11" t="s">
        <v>40</v>
      </c>
      <c r="H45" s="11" t="s">
        <v>41</v>
      </c>
      <c r="I45" s="11" t="s">
        <v>42</v>
      </c>
      <c r="J45" s="11" t="s">
        <v>71</v>
      </c>
      <c r="K45" s="11" t="s">
        <v>81</v>
      </c>
      <c r="L45" s="11" t="s">
        <v>56</v>
      </c>
      <c r="M45" s="11" t="s">
        <v>76</v>
      </c>
      <c r="N45" s="11">
        <v>2</v>
      </c>
      <c r="O45" s="33">
        <v>340000</v>
      </c>
      <c r="P45" s="34">
        <v>0</v>
      </c>
      <c r="Q45" s="33">
        <v>220000</v>
      </c>
      <c r="R45" s="11" t="s">
        <v>58</v>
      </c>
      <c r="S45" s="14">
        <f t="shared" si="11"/>
        <v>680000</v>
      </c>
      <c r="T45" s="14">
        <f t="shared" si="12"/>
        <v>440000</v>
      </c>
      <c r="U45" s="14">
        <f t="shared" si="13"/>
        <v>240000</v>
      </c>
      <c r="V45" s="35">
        <f t="shared" si="14"/>
        <v>0.35294117647058826</v>
      </c>
      <c r="W45" s="14" t="str">
        <f t="shared" si="15"/>
        <v/>
      </c>
      <c r="X45" s="14" t="str">
        <f t="shared" si="16"/>
        <v/>
      </c>
      <c r="Y45" s="11">
        <f t="shared" si="17"/>
        <v>3</v>
      </c>
    </row>
    <row r="46" spans="1:25" x14ac:dyDescent="0.35">
      <c r="A46" s="11" t="s">
        <v>199</v>
      </c>
      <c r="B46" s="17">
        <v>45757</v>
      </c>
      <c r="C46" s="11">
        <f t="shared" si="9"/>
        <v>4</v>
      </c>
      <c r="D46" s="11" t="str">
        <f t="shared" si="10"/>
        <v>Q2</v>
      </c>
      <c r="E46" s="11" t="s">
        <v>78</v>
      </c>
      <c r="F46" s="11" t="s">
        <v>79</v>
      </c>
      <c r="G46" s="11" t="s">
        <v>40</v>
      </c>
      <c r="H46" s="11" t="s">
        <v>41</v>
      </c>
      <c r="I46" s="11" t="s">
        <v>80</v>
      </c>
      <c r="J46" s="11" t="s">
        <v>18</v>
      </c>
      <c r="K46" s="11" t="s">
        <v>20</v>
      </c>
      <c r="L46" s="11" t="s">
        <v>22</v>
      </c>
      <c r="M46" s="11" t="s">
        <v>76</v>
      </c>
      <c r="N46" s="11">
        <v>1</v>
      </c>
      <c r="O46" s="33">
        <v>1200000</v>
      </c>
      <c r="P46" s="34">
        <v>0</v>
      </c>
      <c r="Q46" s="33">
        <v>620000</v>
      </c>
      <c r="R46" s="11" t="s">
        <v>30</v>
      </c>
      <c r="S46" s="14">
        <f t="shared" si="11"/>
        <v>1200000</v>
      </c>
      <c r="T46" s="14">
        <f t="shared" si="12"/>
        <v>620000</v>
      </c>
      <c r="U46" s="14">
        <f t="shared" si="13"/>
        <v>580000</v>
      </c>
      <c r="V46" s="35">
        <f t="shared" si="14"/>
        <v>0.48333333333333334</v>
      </c>
      <c r="W46" s="14">
        <f t="shared" si="15"/>
        <v>1200000</v>
      </c>
      <c r="X46" s="14">
        <f t="shared" si="16"/>
        <v>580000</v>
      </c>
      <c r="Y46" s="11">
        <f t="shared" si="17"/>
        <v>4</v>
      </c>
    </row>
    <row r="47" spans="1:25" x14ac:dyDescent="0.35">
      <c r="A47" s="11" t="s">
        <v>200</v>
      </c>
      <c r="B47" s="17">
        <v>45760</v>
      </c>
      <c r="C47" s="11">
        <f t="shared" si="9"/>
        <v>4</v>
      </c>
      <c r="D47" s="11" t="str">
        <f t="shared" si="10"/>
        <v>Q2</v>
      </c>
      <c r="E47" s="11" t="s">
        <v>78</v>
      </c>
      <c r="F47" s="11" t="s">
        <v>79</v>
      </c>
      <c r="G47" s="11" t="s">
        <v>40</v>
      </c>
      <c r="H47" s="11" t="s">
        <v>41</v>
      </c>
      <c r="I47" s="11" t="s">
        <v>80</v>
      </c>
      <c r="J47" s="11" t="s">
        <v>65</v>
      </c>
      <c r="K47" s="11" t="s">
        <v>201</v>
      </c>
      <c r="L47" s="11" t="s">
        <v>22</v>
      </c>
      <c r="M47" s="11" t="s">
        <v>24</v>
      </c>
      <c r="N47" s="11">
        <v>1</v>
      </c>
      <c r="O47" s="33">
        <v>980000</v>
      </c>
      <c r="P47" s="34">
        <v>0.2</v>
      </c>
      <c r="Q47" s="33">
        <v>600000</v>
      </c>
      <c r="R47" s="11" t="s">
        <v>30</v>
      </c>
      <c r="S47" s="14">
        <f t="shared" si="11"/>
        <v>784000</v>
      </c>
      <c r="T47" s="14">
        <f t="shared" si="12"/>
        <v>600000</v>
      </c>
      <c r="U47" s="14">
        <f t="shared" si="13"/>
        <v>184000</v>
      </c>
      <c r="V47" s="35">
        <f t="shared" si="14"/>
        <v>0.23469387755102042</v>
      </c>
      <c r="W47" s="14">
        <f t="shared" si="15"/>
        <v>784000</v>
      </c>
      <c r="X47" s="14">
        <f t="shared" si="16"/>
        <v>184000</v>
      </c>
      <c r="Y47" s="11">
        <f t="shared" si="17"/>
        <v>7</v>
      </c>
    </row>
    <row r="48" spans="1:25" x14ac:dyDescent="0.35">
      <c r="A48" s="11" t="s">
        <v>202</v>
      </c>
      <c r="B48" s="17">
        <v>45765</v>
      </c>
      <c r="C48" s="11">
        <f t="shared" si="9"/>
        <v>4</v>
      </c>
      <c r="D48" s="11" t="str">
        <f t="shared" si="10"/>
        <v>Q2</v>
      </c>
      <c r="E48" s="11" t="s">
        <v>203</v>
      </c>
      <c r="F48" s="11" t="s">
        <v>204</v>
      </c>
      <c r="G48" s="11" t="s">
        <v>40</v>
      </c>
      <c r="H48" s="11" t="s">
        <v>41</v>
      </c>
      <c r="I48" s="11" t="s">
        <v>80</v>
      </c>
      <c r="J48" s="11" t="s">
        <v>18</v>
      </c>
      <c r="K48" s="11" t="s">
        <v>93</v>
      </c>
      <c r="L48" s="11" t="s">
        <v>56</v>
      </c>
      <c r="M48" s="11" t="s">
        <v>76</v>
      </c>
      <c r="N48" s="11">
        <v>1</v>
      </c>
      <c r="O48" s="33">
        <v>1575000</v>
      </c>
      <c r="P48" s="34">
        <v>0</v>
      </c>
      <c r="Q48" s="33">
        <v>800000</v>
      </c>
      <c r="R48" s="11" t="s">
        <v>30</v>
      </c>
      <c r="S48" s="14">
        <f t="shared" si="11"/>
        <v>1575000</v>
      </c>
      <c r="T48" s="14">
        <f t="shared" si="12"/>
        <v>800000</v>
      </c>
      <c r="U48" s="14">
        <f t="shared" si="13"/>
        <v>775000</v>
      </c>
      <c r="V48" s="35">
        <f t="shared" si="14"/>
        <v>0.49206349206349204</v>
      </c>
      <c r="W48" s="14">
        <f t="shared" si="15"/>
        <v>1575000</v>
      </c>
      <c r="X48" s="14">
        <f t="shared" si="16"/>
        <v>775000</v>
      </c>
      <c r="Y48" s="11">
        <f t="shared" si="17"/>
        <v>5</v>
      </c>
    </row>
    <row r="49" spans="1:25" x14ac:dyDescent="0.35">
      <c r="A49" s="11" t="s">
        <v>205</v>
      </c>
      <c r="B49" s="17">
        <v>45767</v>
      </c>
      <c r="C49" s="11">
        <f t="shared" si="9"/>
        <v>4</v>
      </c>
      <c r="D49" s="11" t="str">
        <f t="shared" si="10"/>
        <v>Q2</v>
      </c>
      <c r="E49" s="11" t="s">
        <v>196</v>
      </c>
      <c r="F49" s="11" t="s">
        <v>197</v>
      </c>
      <c r="G49" s="11" t="s">
        <v>40</v>
      </c>
      <c r="H49" s="11" t="s">
        <v>41</v>
      </c>
      <c r="I49" s="11" t="s">
        <v>42</v>
      </c>
      <c r="J49" s="11" t="s">
        <v>18</v>
      </c>
      <c r="K49" s="11" t="s">
        <v>96</v>
      </c>
      <c r="L49" s="11" t="s">
        <v>56</v>
      </c>
      <c r="M49" s="11" t="s">
        <v>88</v>
      </c>
      <c r="N49" s="11">
        <v>2</v>
      </c>
      <c r="O49" s="33">
        <v>750000</v>
      </c>
      <c r="P49" s="34">
        <v>0.1</v>
      </c>
      <c r="Q49" s="33">
        <v>390000</v>
      </c>
      <c r="R49" s="11" t="s">
        <v>30</v>
      </c>
      <c r="S49" s="14">
        <f t="shared" si="11"/>
        <v>1350000</v>
      </c>
      <c r="T49" s="14">
        <f t="shared" si="12"/>
        <v>780000</v>
      </c>
      <c r="U49" s="14">
        <f t="shared" si="13"/>
        <v>570000</v>
      </c>
      <c r="V49" s="35">
        <f t="shared" si="14"/>
        <v>0.42222222222222222</v>
      </c>
      <c r="W49" s="14">
        <f t="shared" si="15"/>
        <v>1350000</v>
      </c>
      <c r="X49" s="14">
        <f t="shared" si="16"/>
        <v>570000</v>
      </c>
      <c r="Y49" s="11">
        <f t="shared" si="17"/>
        <v>7</v>
      </c>
    </row>
    <row r="50" spans="1:25" x14ac:dyDescent="0.35">
      <c r="A50" s="11" t="s">
        <v>206</v>
      </c>
      <c r="B50" s="17">
        <v>45771</v>
      </c>
      <c r="C50" s="11">
        <f t="shared" si="9"/>
        <v>4</v>
      </c>
      <c r="D50" s="11" t="str">
        <f t="shared" si="10"/>
        <v>Q2</v>
      </c>
      <c r="E50" s="11" t="s">
        <v>118</v>
      </c>
      <c r="F50" s="11" t="s">
        <v>119</v>
      </c>
      <c r="G50" s="11" t="s">
        <v>40</v>
      </c>
      <c r="H50" s="11" t="s">
        <v>14</v>
      </c>
      <c r="I50" s="11" t="s">
        <v>16</v>
      </c>
      <c r="J50" s="11" t="s">
        <v>18</v>
      </c>
      <c r="K50" s="11" t="s">
        <v>20</v>
      </c>
      <c r="L50" s="11" t="s">
        <v>73</v>
      </c>
      <c r="M50" s="11" t="s">
        <v>82</v>
      </c>
      <c r="N50" s="11">
        <v>1</v>
      </c>
      <c r="O50" s="33">
        <v>1200000</v>
      </c>
      <c r="P50" s="34">
        <v>0.1</v>
      </c>
      <c r="Q50" s="33">
        <v>620000</v>
      </c>
      <c r="R50" s="11" t="s">
        <v>30</v>
      </c>
      <c r="S50" s="14">
        <f t="shared" si="11"/>
        <v>1080000</v>
      </c>
      <c r="T50" s="14">
        <f t="shared" si="12"/>
        <v>620000</v>
      </c>
      <c r="U50" s="14">
        <f t="shared" si="13"/>
        <v>460000</v>
      </c>
      <c r="V50" s="35">
        <f t="shared" si="14"/>
        <v>0.42592592592592593</v>
      </c>
      <c r="W50" s="14">
        <f t="shared" si="15"/>
        <v>1080000</v>
      </c>
      <c r="X50" s="14">
        <f t="shared" si="16"/>
        <v>460000</v>
      </c>
      <c r="Y50" s="11">
        <f t="shared" si="17"/>
        <v>4</v>
      </c>
    </row>
    <row r="51" spans="1:25" x14ac:dyDescent="0.35">
      <c r="A51" s="11" t="s">
        <v>207</v>
      </c>
      <c r="B51" s="17">
        <v>45773</v>
      </c>
      <c r="C51" s="11">
        <f t="shared" si="9"/>
        <v>4</v>
      </c>
      <c r="D51" s="11" t="str">
        <f t="shared" si="10"/>
        <v>Q2</v>
      </c>
      <c r="E51" s="11" t="s">
        <v>90</v>
      </c>
      <c r="F51" s="11" t="s">
        <v>91</v>
      </c>
      <c r="G51" s="11" t="s">
        <v>40</v>
      </c>
      <c r="H51" s="11" t="s">
        <v>63</v>
      </c>
      <c r="I51" s="11" t="s">
        <v>92</v>
      </c>
      <c r="J51" s="11" t="s">
        <v>18</v>
      </c>
      <c r="K51" s="11" t="s">
        <v>120</v>
      </c>
      <c r="L51" s="11" t="s">
        <v>73</v>
      </c>
      <c r="M51" s="11" t="s">
        <v>57</v>
      </c>
      <c r="N51" s="11">
        <v>1</v>
      </c>
      <c r="O51" s="33">
        <v>280000</v>
      </c>
      <c r="P51" s="34">
        <v>0.1</v>
      </c>
      <c r="Q51" s="33">
        <v>130000</v>
      </c>
      <c r="R51" s="11" t="s">
        <v>30</v>
      </c>
      <c r="S51" s="14">
        <f t="shared" si="11"/>
        <v>252000</v>
      </c>
      <c r="T51" s="14">
        <f t="shared" si="12"/>
        <v>130000</v>
      </c>
      <c r="U51" s="14">
        <f t="shared" si="13"/>
        <v>122000</v>
      </c>
      <c r="V51" s="35">
        <f t="shared" si="14"/>
        <v>0.48412698412698413</v>
      </c>
      <c r="W51" s="14">
        <f t="shared" si="15"/>
        <v>252000</v>
      </c>
      <c r="X51" s="14">
        <f t="shared" si="16"/>
        <v>122000</v>
      </c>
      <c r="Y51" s="11">
        <f t="shared" si="17"/>
        <v>6</v>
      </c>
    </row>
    <row r="52" spans="1:25" x14ac:dyDescent="0.35">
      <c r="A52" s="11" t="s">
        <v>208</v>
      </c>
      <c r="B52" s="17">
        <v>45774</v>
      </c>
      <c r="C52" s="11">
        <f t="shared" si="9"/>
        <v>4</v>
      </c>
      <c r="D52" s="11" t="str">
        <f t="shared" si="10"/>
        <v>Q2</v>
      </c>
      <c r="E52" s="11" t="s">
        <v>181</v>
      </c>
      <c r="F52" s="11" t="s">
        <v>182</v>
      </c>
      <c r="G52" s="11" t="s">
        <v>40</v>
      </c>
      <c r="H52" s="11" t="s">
        <v>41</v>
      </c>
      <c r="I52" s="11" t="s">
        <v>173</v>
      </c>
      <c r="J52" s="11" t="s">
        <v>65</v>
      </c>
      <c r="K52" s="11" t="s">
        <v>66</v>
      </c>
      <c r="L52" s="11" t="s">
        <v>73</v>
      </c>
      <c r="M52" s="11" t="s">
        <v>49</v>
      </c>
      <c r="N52" s="11">
        <v>2</v>
      </c>
      <c r="O52" s="33">
        <v>546000</v>
      </c>
      <c r="P52" s="34">
        <v>0.15</v>
      </c>
      <c r="Q52" s="33">
        <v>310000</v>
      </c>
      <c r="R52" s="11" t="s">
        <v>30</v>
      </c>
      <c r="S52" s="14">
        <f t="shared" si="11"/>
        <v>928200</v>
      </c>
      <c r="T52" s="14">
        <f t="shared" si="12"/>
        <v>620000</v>
      </c>
      <c r="U52" s="14">
        <f t="shared" si="13"/>
        <v>308200</v>
      </c>
      <c r="V52" s="35">
        <f t="shared" si="14"/>
        <v>0.33204050851109673</v>
      </c>
      <c r="W52" s="14">
        <f t="shared" si="15"/>
        <v>928200</v>
      </c>
      <c r="X52" s="14">
        <f t="shared" si="16"/>
        <v>308200</v>
      </c>
      <c r="Y52" s="11">
        <f t="shared" si="17"/>
        <v>7</v>
      </c>
    </row>
    <row r="53" spans="1:25" x14ac:dyDescent="0.35">
      <c r="A53" s="11" t="s">
        <v>209</v>
      </c>
      <c r="B53" s="17">
        <v>45776</v>
      </c>
      <c r="C53" s="11">
        <f t="shared" si="9"/>
        <v>4</v>
      </c>
      <c r="D53" s="11" t="str">
        <f t="shared" si="10"/>
        <v>Q2</v>
      </c>
      <c r="E53" s="11" t="s">
        <v>210</v>
      </c>
      <c r="F53" s="11" t="s">
        <v>211</v>
      </c>
      <c r="G53" s="11" t="s">
        <v>40</v>
      </c>
      <c r="H53" s="11" t="s">
        <v>14</v>
      </c>
      <c r="I53" s="11" t="s">
        <v>105</v>
      </c>
      <c r="J53" s="11" t="s">
        <v>18</v>
      </c>
      <c r="K53" s="11" t="s">
        <v>96</v>
      </c>
      <c r="L53" s="11" t="s">
        <v>22</v>
      </c>
      <c r="M53" s="11" t="s">
        <v>24</v>
      </c>
      <c r="N53" s="11">
        <v>2</v>
      </c>
      <c r="O53" s="33">
        <v>750000</v>
      </c>
      <c r="P53" s="34">
        <v>0.05</v>
      </c>
      <c r="Q53" s="33">
        <v>390000</v>
      </c>
      <c r="R53" s="11" t="s">
        <v>30</v>
      </c>
      <c r="S53" s="14">
        <f t="shared" si="11"/>
        <v>1425000</v>
      </c>
      <c r="T53" s="14">
        <f t="shared" si="12"/>
        <v>780000</v>
      </c>
      <c r="U53" s="14">
        <f t="shared" si="13"/>
        <v>645000</v>
      </c>
      <c r="V53" s="35">
        <f t="shared" si="14"/>
        <v>0.45263157894736844</v>
      </c>
      <c r="W53" s="14">
        <f t="shared" si="15"/>
        <v>1425000</v>
      </c>
      <c r="X53" s="14">
        <f t="shared" si="16"/>
        <v>645000</v>
      </c>
      <c r="Y53" s="11">
        <f t="shared" si="17"/>
        <v>2</v>
      </c>
    </row>
    <row r="54" spans="1:25" x14ac:dyDescent="0.35">
      <c r="A54" s="11" t="s">
        <v>212</v>
      </c>
      <c r="B54" s="17">
        <v>45781</v>
      </c>
      <c r="C54" s="11">
        <f t="shared" si="9"/>
        <v>5</v>
      </c>
      <c r="D54" s="11" t="str">
        <f t="shared" si="10"/>
        <v>Q2</v>
      </c>
      <c r="E54" s="11" t="s">
        <v>213</v>
      </c>
      <c r="F54" s="11" t="s">
        <v>214</v>
      </c>
      <c r="G54" s="11" t="s">
        <v>40</v>
      </c>
      <c r="H54" s="11" t="s">
        <v>14</v>
      </c>
      <c r="I54" s="11" t="s">
        <v>70</v>
      </c>
      <c r="J54" s="11" t="s">
        <v>43</v>
      </c>
      <c r="K54" s="11" t="s">
        <v>48</v>
      </c>
      <c r="L54" s="11" t="s">
        <v>56</v>
      </c>
      <c r="M54" s="11" t="s">
        <v>159</v>
      </c>
      <c r="N54" s="11">
        <v>1</v>
      </c>
      <c r="O54" s="33">
        <v>304000</v>
      </c>
      <c r="P54" s="34">
        <v>0</v>
      </c>
      <c r="Q54" s="33">
        <v>120000</v>
      </c>
      <c r="R54" s="11" t="s">
        <v>30</v>
      </c>
      <c r="S54" s="14">
        <f t="shared" si="11"/>
        <v>304000</v>
      </c>
      <c r="T54" s="14">
        <f t="shared" si="12"/>
        <v>120000</v>
      </c>
      <c r="U54" s="14">
        <f t="shared" si="13"/>
        <v>184000</v>
      </c>
      <c r="V54" s="35">
        <f t="shared" si="14"/>
        <v>0.60526315789473684</v>
      </c>
      <c r="W54" s="14">
        <f t="shared" si="15"/>
        <v>304000</v>
      </c>
      <c r="X54" s="14">
        <f t="shared" si="16"/>
        <v>184000</v>
      </c>
      <c r="Y54" s="11">
        <f t="shared" si="17"/>
        <v>7</v>
      </c>
    </row>
    <row r="55" spans="1:25" x14ac:dyDescent="0.35">
      <c r="A55" s="11" t="s">
        <v>215</v>
      </c>
      <c r="B55" s="17">
        <v>45782</v>
      </c>
      <c r="C55" s="11">
        <f t="shared" si="9"/>
        <v>5</v>
      </c>
      <c r="D55" s="11" t="str">
        <f t="shared" si="10"/>
        <v>Q2</v>
      </c>
      <c r="E55" s="11" t="s">
        <v>216</v>
      </c>
      <c r="F55" s="11" t="s">
        <v>217</v>
      </c>
      <c r="G55" s="11" t="s">
        <v>40</v>
      </c>
      <c r="H55" s="11" t="s">
        <v>14</v>
      </c>
      <c r="I55" s="11" t="s">
        <v>135</v>
      </c>
      <c r="J55" s="11" t="s">
        <v>18</v>
      </c>
      <c r="K55" s="11" t="s">
        <v>120</v>
      </c>
      <c r="L55" s="11" t="s">
        <v>56</v>
      </c>
      <c r="M55" s="11" t="s">
        <v>106</v>
      </c>
      <c r="N55" s="11">
        <v>1</v>
      </c>
      <c r="O55" s="33">
        <v>266000</v>
      </c>
      <c r="P55" s="34">
        <v>0</v>
      </c>
      <c r="Q55" s="33">
        <v>130000</v>
      </c>
      <c r="R55" s="11" t="s">
        <v>30</v>
      </c>
      <c r="S55" s="14">
        <f t="shared" si="11"/>
        <v>266000</v>
      </c>
      <c r="T55" s="14">
        <f t="shared" si="12"/>
        <v>130000</v>
      </c>
      <c r="U55" s="14">
        <f t="shared" si="13"/>
        <v>136000</v>
      </c>
      <c r="V55" s="35">
        <f t="shared" si="14"/>
        <v>0.51127819548872178</v>
      </c>
      <c r="W55" s="14">
        <f t="shared" si="15"/>
        <v>266000</v>
      </c>
      <c r="X55" s="14">
        <f t="shared" si="16"/>
        <v>136000</v>
      </c>
      <c r="Y55" s="11">
        <f t="shared" si="17"/>
        <v>1</v>
      </c>
    </row>
    <row r="56" spans="1:25" x14ac:dyDescent="0.35">
      <c r="A56" s="11" t="s">
        <v>218</v>
      </c>
      <c r="B56" s="17">
        <v>45782</v>
      </c>
      <c r="C56" s="11">
        <f t="shared" si="9"/>
        <v>5</v>
      </c>
      <c r="D56" s="11" t="str">
        <f t="shared" si="10"/>
        <v>Q2</v>
      </c>
      <c r="E56" s="11" t="s">
        <v>125</v>
      </c>
      <c r="F56" s="11" t="s">
        <v>126</v>
      </c>
      <c r="G56" s="11" t="s">
        <v>40</v>
      </c>
      <c r="H56" s="11" t="s">
        <v>63</v>
      </c>
      <c r="I56" s="11" t="s">
        <v>92</v>
      </c>
      <c r="J56" s="11" t="s">
        <v>71</v>
      </c>
      <c r="K56" s="11" t="s">
        <v>87</v>
      </c>
      <c r="L56" s="11" t="s">
        <v>97</v>
      </c>
      <c r="M56" s="11" t="s">
        <v>24</v>
      </c>
      <c r="N56" s="11">
        <v>1</v>
      </c>
      <c r="O56" s="33">
        <v>380000</v>
      </c>
      <c r="P56" s="34">
        <v>0.05</v>
      </c>
      <c r="Q56" s="33">
        <v>250000</v>
      </c>
      <c r="R56" s="11" t="s">
        <v>30</v>
      </c>
      <c r="S56" s="14">
        <f t="shared" si="11"/>
        <v>361000</v>
      </c>
      <c r="T56" s="14">
        <f t="shared" si="12"/>
        <v>250000</v>
      </c>
      <c r="U56" s="14">
        <f t="shared" si="13"/>
        <v>111000</v>
      </c>
      <c r="V56" s="35">
        <f t="shared" si="14"/>
        <v>0.30747922437673131</v>
      </c>
      <c r="W56" s="14">
        <f t="shared" si="15"/>
        <v>361000</v>
      </c>
      <c r="X56" s="14">
        <f t="shared" si="16"/>
        <v>111000</v>
      </c>
      <c r="Y56" s="11">
        <f t="shared" si="17"/>
        <v>1</v>
      </c>
    </row>
    <row r="57" spans="1:25" x14ac:dyDescent="0.35">
      <c r="A57" s="11" t="s">
        <v>219</v>
      </c>
      <c r="B57" s="17">
        <v>45786</v>
      </c>
      <c r="C57" s="11">
        <f t="shared" si="9"/>
        <v>5</v>
      </c>
      <c r="D57" s="11" t="str">
        <f t="shared" si="10"/>
        <v>Q2</v>
      </c>
      <c r="E57" s="11" t="s">
        <v>185</v>
      </c>
      <c r="F57" s="11" t="s">
        <v>186</v>
      </c>
      <c r="G57" s="11" t="s">
        <v>40</v>
      </c>
      <c r="H57" s="11" t="s">
        <v>41</v>
      </c>
      <c r="I57" s="11" t="s">
        <v>42</v>
      </c>
      <c r="J57" s="11" t="s">
        <v>54</v>
      </c>
      <c r="K57" s="11" t="s">
        <v>220</v>
      </c>
      <c r="L57" s="11" t="s">
        <v>56</v>
      </c>
      <c r="M57" s="11" t="s">
        <v>76</v>
      </c>
      <c r="N57" s="11">
        <v>3</v>
      </c>
      <c r="O57" s="33">
        <v>450000</v>
      </c>
      <c r="P57" s="34">
        <v>0.15</v>
      </c>
      <c r="Q57" s="33">
        <v>260000</v>
      </c>
      <c r="R57" s="11" t="s">
        <v>30</v>
      </c>
      <c r="S57" s="14">
        <f t="shared" si="11"/>
        <v>1147500</v>
      </c>
      <c r="T57" s="14">
        <f t="shared" si="12"/>
        <v>780000</v>
      </c>
      <c r="U57" s="14">
        <f t="shared" si="13"/>
        <v>367500</v>
      </c>
      <c r="V57" s="35">
        <f t="shared" si="14"/>
        <v>0.3202614379084967</v>
      </c>
      <c r="W57" s="14">
        <f t="shared" si="15"/>
        <v>1147500</v>
      </c>
      <c r="X57" s="14">
        <f t="shared" si="16"/>
        <v>367500</v>
      </c>
      <c r="Y57" s="11">
        <f t="shared" si="17"/>
        <v>5</v>
      </c>
    </row>
    <row r="58" spans="1:25" x14ac:dyDescent="0.35">
      <c r="A58" s="11" t="s">
        <v>221</v>
      </c>
      <c r="B58" s="17">
        <v>45789</v>
      </c>
      <c r="C58" s="11">
        <f t="shared" si="9"/>
        <v>5</v>
      </c>
      <c r="D58" s="11" t="str">
        <f t="shared" si="10"/>
        <v>Q2</v>
      </c>
      <c r="E58" s="11" t="s">
        <v>222</v>
      </c>
      <c r="F58" s="11" t="s">
        <v>223</v>
      </c>
      <c r="G58" s="11" t="s">
        <v>40</v>
      </c>
      <c r="H58" s="11" t="s">
        <v>14</v>
      </c>
      <c r="I58" s="11" t="s">
        <v>70</v>
      </c>
      <c r="J58" s="11" t="s">
        <v>54</v>
      </c>
      <c r="K58" s="11" t="s">
        <v>55</v>
      </c>
      <c r="L58" s="11" t="s">
        <v>22</v>
      </c>
      <c r="M58" s="11" t="s">
        <v>49</v>
      </c>
      <c r="N58" s="11">
        <v>1</v>
      </c>
      <c r="O58" s="33">
        <v>850000</v>
      </c>
      <c r="P58" s="34">
        <v>0</v>
      </c>
      <c r="Q58" s="33">
        <v>520000</v>
      </c>
      <c r="R58" s="11" t="s">
        <v>30</v>
      </c>
      <c r="S58" s="14">
        <f t="shared" si="11"/>
        <v>850000</v>
      </c>
      <c r="T58" s="14">
        <f t="shared" si="12"/>
        <v>520000</v>
      </c>
      <c r="U58" s="14">
        <f t="shared" si="13"/>
        <v>330000</v>
      </c>
      <c r="V58" s="35">
        <f t="shared" si="14"/>
        <v>0.38823529411764707</v>
      </c>
      <c r="W58" s="14">
        <f t="shared" si="15"/>
        <v>850000</v>
      </c>
      <c r="X58" s="14">
        <f t="shared" si="16"/>
        <v>330000</v>
      </c>
      <c r="Y58" s="11">
        <f t="shared" si="17"/>
        <v>1</v>
      </c>
    </row>
    <row r="59" spans="1:25" x14ac:dyDescent="0.35">
      <c r="A59" s="11" t="s">
        <v>225</v>
      </c>
      <c r="B59" s="17">
        <v>45789</v>
      </c>
      <c r="C59" s="11">
        <f t="shared" si="9"/>
        <v>5</v>
      </c>
      <c r="D59" s="11" t="str">
        <f t="shared" si="10"/>
        <v>Q2</v>
      </c>
      <c r="E59" s="11" t="s">
        <v>226</v>
      </c>
      <c r="F59" s="11" t="s">
        <v>227</v>
      </c>
      <c r="G59" s="11" t="s">
        <v>40</v>
      </c>
      <c r="H59" s="11" t="s">
        <v>41</v>
      </c>
      <c r="I59" s="11" t="s">
        <v>42</v>
      </c>
      <c r="J59" s="11" t="s">
        <v>65</v>
      </c>
      <c r="K59" s="11" t="s">
        <v>201</v>
      </c>
      <c r="L59" s="11" t="s">
        <v>56</v>
      </c>
      <c r="M59" s="11" t="s">
        <v>49</v>
      </c>
      <c r="N59" s="11">
        <v>3</v>
      </c>
      <c r="O59" s="33">
        <v>1029000</v>
      </c>
      <c r="P59" s="34">
        <v>0.05</v>
      </c>
      <c r="Q59" s="33">
        <v>600000</v>
      </c>
      <c r="R59" s="11" t="s">
        <v>30</v>
      </c>
      <c r="S59" s="14">
        <f t="shared" si="11"/>
        <v>2932650</v>
      </c>
      <c r="T59" s="14">
        <f t="shared" si="12"/>
        <v>1800000</v>
      </c>
      <c r="U59" s="14">
        <f t="shared" si="13"/>
        <v>1132650</v>
      </c>
      <c r="V59" s="35">
        <f t="shared" si="14"/>
        <v>0.38622065367500386</v>
      </c>
      <c r="W59" s="14">
        <f t="shared" si="15"/>
        <v>2932650</v>
      </c>
      <c r="X59" s="14">
        <f t="shared" si="16"/>
        <v>1132650</v>
      </c>
      <c r="Y59" s="11">
        <f t="shared" si="17"/>
        <v>1</v>
      </c>
    </row>
    <row r="60" spans="1:25" x14ac:dyDescent="0.35">
      <c r="A60" s="11" t="s">
        <v>228</v>
      </c>
      <c r="B60" s="17">
        <v>45790</v>
      </c>
      <c r="C60" s="11">
        <f t="shared" si="9"/>
        <v>5</v>
      </c>
      <c r="D60" s="11" t="str">
        <f t="shared" si="10"/>
        <v>Q2</v>
      </c>
      <c r="E60" s="11" t="s">
        <v>149</v>
      </c>
      <c r="F60" s="11" t="s">
        <v>150</v>
      </c>
      <c r="G60" s="11" t="s">
        <v>40</v>
      </c>
      <c r="H60" s="11" t="s">
        <v>41</v>
      </c>
      <c r="I60" s="11" t="s">
        <v>80</v>
      </c>
      <c r="J60" s="11" t="s">
        <v>43</v>
      </c>
      <c r="K60" s="11" t="s">
        <v>48</v>
      </c>
      <c r="L60" s="11" t="s">
        <v>56</v>
      </c>
      <c r="M60" s="11" t="s">
        <v>106</v>
      </c>
      <c r="N60" s="11">
        <v>4</v>
      </c>
      <c r="O60" s="33">
        <v>290000</v>
      </c>
      <c r="P60" s="34">
        <v>0</v>
      </c>
      <c r="Q60" s="33">
        <v>120000</v>
      </c>
      <c r="R60" s="11" t="s">
        <v>30</v>
      </c>
      <c r="S60" s="14">
        <f t="shared" si="11"/>
        <v>1160000</v>
      </c>
      <c r="T60" s="14">
        <f t="shared" si="12"/>
        <v>480000</v>
      </c>
      <c r="U60" s="14">
        <f t="shared" si="13"/>
        <v>680000</v>
      </c>
      <c r="V60" s="35">
        <f t="shared" si="14"/>
        <v>0.58620689655172409</v>
      </c>
      <c r="W60" s="14">
        <f t="shared" si="15"/>
        <v>1160000</v>
      </c>
      <c r="X60" s="14">
        <f t="shared" si="16"/>
        <v>680000</v>
      </c>
      <c r="Y60" s="11">
        <f t="shared" si="17"/>
        <v>2</v>
      </c>
    </row>
    <row r="61" spans="1:25" x14ac:dyDescent="0.35">
      <c r="A61" s="11" t="s">
        <v>230</v>
      </c>
      <c r="B61" s="17">
        <v>45790</v>
      </c>
      <c r="C61" s="11">
        <f t="shared" si="9"/>
        <v>5</v>
      </c>
      <c r="D61" s="11" t="str">
        <f t="shared" si="10"/>
        <v>Q2</v>
      </c>
      <c r="E61" s="11" t="s">
        <v>38</v>
      </c>
      <c r="F61" s="11" t="s">
        <v>39</v>
      </c>
      <c r="G61" s="11" t="s">
        <v>40</v>
      </c>
      <c r="H61" s="11" t="s">
        <v>41</v>
      </c>
      <c r="I61" s="11" t="s">
        <v>42</v>
      </c>
      <c r="J61" s="11" t="s">
        <v>54</v>
      </c>
      <c r="K61" s="11" t="s">
        <v>131</v>
      </c>
      <c r="L61" s="11" t="s">
        <v>22</v>
      </c>
      <c r="M61" s="11" t="s">
        <v>159</v>
      </c>
      <c r="N61" s="11">
        <v>1</v>
      </c>
      <c r="O61" s="33">
        <v>690000</v>
      </c>
      <c r="P61" s="34">
        <v>0.05</v>
      </c>
      <c r="Q61" s="33">
        <v>410000</v>
      </c>
      <c r="R61" s="11" t="s">
        <v>98</v>
      </c>
      <c r="S61" s="14">
        <f t="shared" si="11"/>
        <v>655500</v>
      </c>
      <c r="T61" s="14">
        <f t="shared" si="12"/>
        <v>410000</v>
      </c>
      <c r="U61" s="14">
        <f t="shared" si="13"/>
        <v>245500</v>
      </c>
      <c r="V61" s="35">
        <f t="shared" si="14"/>
        <v>0.37452326468344777</v>
      </c>
      <c r="W61" s="14" t="str">
        <f t="shared" si="15"/>
        <v/>
      </c>
      <c r="X61" s="14" t="str">
        <f t="shared" si="16"/>
        <v/>
      </c>
      <c r="Y61" s="11">
        <f t="shared" si="17"/>
        <v>2</v>
      </c>
    </row>
    <row r="62" spans="1:25" x14ac:dyDescent="0.35">
      <c r="A62" s="11" t="s">
        <v>231</v>
      </c>
      <c r="B62" s="17">
        <v>45792</v>
      </c>
      <c r="C62" s="11">
        <f t="shared" si="9"/>
        <v>5</v>
      </c>
      <c r="D62" s="11" t="str">
        <f t="shared" si="10"/>
        <v>Q2</v>
      </c>
      <c r="E62" s="11" t="s">
        <v>232</v>
      </c>
      <c r="F62" s="11" t="s">
        <v>233</v>
      </c>
      <c r="G62" s="11" t="s">
        <v>40</v>
      </c>
      <c r="H62" s="11" t="s">
        <v>41</v>
      </c>
      <c r="I62" s="11" t="s">
        <v>42</v>
      </c>
      <c r="J62" s="11" t="s">
        <v>18</v>
      </c>
      <c r="K62" s="11" t="s">
        <v>120</v>
      </c>
      <c r="L62" s="11" t="s">
        <v>22</v>
      </c>
      <c r="M62" s="11" t="s">
        <v>49</v>
      </c>
      <c r="N62" s="11">
        <v>1</v>
      </c>
      <c r="O62" s="33">
        <v>294000</v>
      </c>
      <c r="P62" s="34">
        <v>0.2</v>
      </c>
      <c r="Q62" s="33">
        <v>130000</v>
      </c>
      <c r="R62" s="11" t="s">
        <v>30</v>
      </c>
      <c r="S62" s="14">
        <f t="shared" si="11"/>
        <v>235200</v>
      </c>
      <c r="T62" s="14">
        <f t="shared" si="12"/>
        <v>130000</v>
      </c>
      <c r="U62" s="14">
        <f t="shared" si="13"/>
        <v>105200</v>
      </c>
      <c r="V62" s="35">
        <f t="shared" si="14"/>
        <v>0.44727891156462585</v>
      </c>
      <c r="W62" s="14">
        <f t="shared" si="15"/>
        <v>235200</v>
      </c>
      <c r="X62" s="14">
        <f t="shared" si="16"/>
        <v>105200</v>
      </c>
      <c r="Y62" s="11">
        <f t="shared" si="17"/>
        <v>4</v>
      </c>
    </row>
    <row r="63" spans="1:25" x14ac:dyDescent="0.35">
      <c r="A63" s="11" t="s">
        <v>234</v>
      </c>
      <c r="B63" s="17">
        <v>45793</v>
      </c>
      <c r="C63" s="11">
        <f t="shared" si="9"/>
        <v>5</v>
      </c>
      <c r="D63" s="11" t="str">
        <f t="shared" si="10"/>
        <v>Q2</v>
      </c>
      <c r="E63" s="11" t="s">
        <v>100</v>
      </c>
      <c r="F63" s="11" t="s">
        <v>101</v>
      </c>
      <c r="G63" s="11" t="s">
        <v>40</v>
      </c>
      <c r="H63" s="11" t="s">
        <v>14</v>
      </c>
      <c r="I63" s="11" t="s">
        <v>16</v>
      </c>
      <c r="J63" s="11" t="s">
        <v>71</v>
      </c>
      <c r="K63" s="11" t="s">
        <v>72</v>
      </c>
      <c r="L63" s="11" t="s">
        <v>56</v>
      </c>
      <c r="M63" s="11" t="s">
        <v>106</v>
      </c>
      <c r="N63" s="11">
        <v>3</v>
      </c>
      <c r="O63" s="33">
        <v>200000</v>
      </c>
      <c r="P63" s="34">
        <v>0</v>
      </c>
      <c r="Q63" s="33">
        <v>120000</v>
      </c>
      <c r="R63" s="11" t="s">
        <v>30</v>
      </c>
      <c r="S63" s="14">
        <f t="shared" si="11"/>
        <v>600000</v>
      </c>
      <c r="T63" s="14">
        <f t="shared" si="12"/>
        <v>360000</v>
      </c>
      <c r="U63" s="14">
        <f t="shared" si="13"/>
        <v>240000</v>
      </c>
      <c r="V63" s="35">
        <f t="shared" si="14"/>
        <v>0.4</v>
      </c>
      <c r="W63" s="14">
        <f t="shared" si="15"/>
        <v>600000</v>
      </c>
      <c r="X63" s="14">
        <f t="shared" si="16"/>
        <v>240000</v>
      </c>
      <c r="Y63" s="11">
        <f t="shared" si="17"/>
        <v>5</v>
      </c>
    </row>
    <row r="64" spans="1:25" x14ac:dyDescent="0.35">
      <c r="A64" s="11" t="s">
        <v>235</v>
      </c>
      <c r="B64" s="17">
        <v>45794</v>
      </c>
      <c r="C64" s="11">
        <f t="shared" si="9"/>
        <v>5</v>
      </c>
      <c r="D64" s="11" t="str">
        <f t="shared" si="10"/>
        <v>Q2</v>
      </c>
      <c r="E64" s="11" t="s">
        <v>236</v>
      </c>
      <c r="F64" s="11" t="s">
        <v>237</v>
      </c>
      <c r="G64" s="11" t="s">
        <v>40</v>
      </c>
      <c r="H64" s="11" t="s">
        <v>63</v>
      </c>
      <c r="I64" s="11" t="s">
        <v>238</v>
      </c>
      <c r="J64" s="11" t="s">
        <v>18</v>
      </c>
      <c r="K64" s="11" t="s">
        <v>96</v>
      </c>
      <c r="L64" s="11" t="s">
        <v>73</v>
      </c>
      <c r="M64" s="11" t="s">
        <v>57</v>
      </c>
      <c r="N64" s="11">
        <v>2</v>
      </c>
      <c r="O64" s="33">
        <v>750000</v>
      </c>
      <c r="P64" s="34">
        <v>0.1</v>
      </c>
      <c r="Q64" s="33">
        <v>390000</v>
      </c>
      <c r="R64" s="11" t="s">
        <v>30</v>
      </c>
      <c r="S64" s="14">
        <f t="shared" si="11"/>
        <v>1350000</v>
      </c>
      <c r="T64" s="14">
        <f t="shared" si="12"/>
        <v>780000</v>
      </c>
      <c r="U64" s="14">
        <f t="shared" si="13"/>
        <v>570000</v>
      </c>
      <c r="V64" s="35">
        <f t="shared" si="14"/>
        <v>0.42222222222222222</v>
      </c>
      <c r="W64" s="14">
        <f t="shared" si="15"/>
        <v>1350000</v>
      </c>
      <c r="X64" s="14">
        <f t="shared" si="16"/>
        <v>570000</v>
      </c>
      <c r="Y64" s="11">
        <f t="shared" si="17"/>
        <v>6</v>
      </c>
    </row>
    <row r="65" spans="1:25" x14ac:dyDescent="0.35">
      <c r="A65" s="11" t="s">
        <v>239</v>
      </c>
      <c r="B65" s="17">
        <v>45794</v>
      </c>
      <c r="C65" s="11">
        <f t="shared" si="9"/>
        <v>5</v>
      </c>
      <c r="D65" s="11" t="str">
        <f t="shared" si="10"/>
        <v>Q2</v>
      </c>
      <c r="E65" s="11" t="s">
        <v>203</v>
      </c>
      <c r="F65" s="11" t="s">
        <v>204</v>
      </c>
      <c r="G65" s="11" t="s">
        <v>40</v>
      </c>
      <c r="H65" s="11" t="s">
        <v>41</v>
      </c>
      <c r="I65" s="11" t="s">
        <v>80</v>
      </c>
      <c r="J65" s="11" t="s">
        <v>18</v>
      </c>
      <c r="K65" s="11" t="s">
        <v>93</v>
      </c>
      <c r="L65" s="11" t="s">
        <v>73</v>
      </c>
      <c r="M65" s="11" t="s">
        <v>82</v>
      </c>
      <c r="N65" s="11">
        <v>4</v>
      </c>
      <c r="O65" s="33">
        <v>1500000</v>
      </c>
      <c r="P65" s="34">
        <v>0</v>
      </c>
      <c r="Q65" s="33">
        <v>800000</v>
      </c>
      <c r="R65" s="11" t="s">
        <v>30</v>
      </c>
      <c r="S65" s="14">
        <f t="shared" si="11"/>
        <v>6000000</v>
      </c>
      <c r="T65" s="14">
        <f t="shared" si="12"/>
        <v>3200000</v>
      </c>
      <c r="U65" s="14">
        <f t="shared" si="13"/>
        <v>2800000</v>
      </c>
      <c r="V65" s="35">
        <f t="shared" si="14"/>
        <v>0.46666666666666667</v>
      </c>
      <c r="W65" s="14">
        <f t="shared" si="15"/>
        <v>6000000</v>
      </c>
      <c r="X65" s="14">
        <f t="shared" si="16"/>
        <v>2800000</v>
      </c>
      <c r="Y65" s="11">
        <f t="shared" si="17"/>
        <v>6</v>
      </c>
    </row>
    <row r="66" spans="1:25" x14ac:dyDescent="0.35">
      <c r="A66" s="11" t="s">
        <v>240</v>
      </c>
      <c r="B66" s="17">
        <v>45795</v>
      </c>
      <c r="C66" s="11">
        <f t="shared" ref="C66:C97" si="18">MONTH(B66)</f>
        <v>5</v>
      </c>
      <c r="D66" s="11" t="str">
        <f t="shared" ref="D66:D97" si="19">"Q"&amp;ROUNDUP(C66/3,0)</f>
        <v>Q2</v>
      </c>
      <c r="E66" s="11" t="s">
        <v>78</v>
      </c>
      <c r="F66" s="11" t="s">
        <v>79</v>
      </c>
      <c r="G66" s="11" t="s">
        <v>40</v>
      </c>
      <c r="H66" s="11" t="s">
        <v>41</v>
      </c>
      <c r="I66" s="11" t="s">
        <v>80</v>
      </c>
      <c r="J66" s="11" t="s">
        <v>18</v>
      </c>
      <c r="K66" s="11" t="s">
        <v>20</v>
      </c>
      <c r="L66" s="11" t="s">
        <v>73</v>
      </c>
      <c r="M66" s="11" t="s">
        <v>88</v>
      </c>
      <c r="N66" s="11">
        <v>1</v>
      </c>
      <c r="O66" s="33">
        <v>1140000</v>
      </c>
      <c r="P66" s="34">
        <v>0</v>
      </c>
      <c r="Q66" s="33">
        <v>620000</v>
      </c>
      <c r="R66" s="11" t="s">
        <v>30</v>
      </c>
      <c r="S66" s="14">
        <f t="shared" ref="S66:S97" si="20">N66*O66*(1-P66)</f>
        <v>1140000</v>
      </c>
      <c r="T66" s="14">
        <f t="shared" ref="T66:T97" si="21">N66*Q66</f>
        <v>620000</v>
      </c>
      <c r="U66" s="14">
        <f t="shared" ref="U66:U97" si="22">S66-T66</f>
        <v>520000</v>
      </c>
      <c r="V66" s="35">
        <f t="shared" ref="V66:V97" si="23">IF(S66=0,0,U66/S66)</f>
        <v>0.45614035087719296</v>
      </c>
      <c r="W66" s="14">
        <f t="shared" ref="W66:W97" si="24">IF(R66="Hoàn thành",S66,"")</f>
        <v>1140000</v>
      </c>
      <c r="X66" s="14">
        <f t="shared" ref="X66:X97" si="25">IF(R66="Hoàn thành",U66,"")</f>
        <v>520000</v>
      </c>
      <c r="Y66" s="11">
        <f t="shared" ref="Y66:Y97" si="26">WEEKDAY(B66,2)</f>
        <v>7</v>
      </c>
    </row>
    <row r="67" spans="1:25" x14ac:dyDescent="0.35">
      <c r="A67" s="11" t="s">
        <v>241</v>
      </c>
      <c r="B67" s="17">
        <v>45799</v>
      </c>
      <c r="C67" s="11">
        <f t="shared" si="18"/>
        <v>5</v>
      </c>
      <c r="D67" s="11" t="str">
        <f t="shared" si="19"/>
        <v>Q2</v>
      </c>
      <c r="E67" s="11" t="s">
        <v>178</v>
      </c>
      <c r="F67" s="11" t="s">
        <v>179</v>
      </c>
      <c r="G67" s="11" t="s">
        <v>40</v>
      </c>
      <c r="H67" s="11" t="s">
        <v>41</v>
      </c>
      <c r="I67" s="11" t="s">
        <v>80</v>
      </c>
      <c r="J67" s="11" t="s">
        <v>18</v>
      </c>
      <c r="K67" s="11" t="s">
        <v>96</v>
      </c>
      <c r="L67" s="11" t="s">
        <v>56</v>
      </c>
      <c r="M67" s="11" t="s">
        <v>24</v>
      </c>
      <c r="N67" s="11">
        <v>2</v>
      </c>
      <c r="O67" s="33">
        <v>750000</v>
      </c>
      <c r="P67" s="34">
        <v>0</v>
      </c>
      <c r="Q67" s="33">
        <v>390000</v>
      </c>
      <c r="R67" s="11" t="s">
        <v>30</v>
      </c>
      <c r="S67" s="14">
        <f t="shared" si="20"/>
        <v>1500000</v>
      </c>
      <c r="T67" s="14">
        <f t="shared" si="21"/>
        <v>780000</v>
      </c>
      <c r="U67" s="14">
        <f t="shared" si="22"/>
        <v>720000</v>
      </c>
      <c r="V67" s="35">
        <f t="shared" si="23"/>
        <v>0.48</v>
      </c>
      <c r="W67" s="14">
        <f t="shared" si="24"/>
        <v>1500000</v>
      </c>
      <c r="X67" s="14">
        <f t="shared" si="25"/>
        <v>720000</v>
      </c>
      <c r="Y67" s="11">
        <f t="shared" si="26"/>
        <v>4</v>
      </c>
    </row>
    <row r="68" spans="1:25" x14ac:dyDescent="0.35">
      <c r="A68" s="11" t="s">
        <v>242</v>
      </c>
      <c r="B68" s="17">
        <v>45812</v>
      </c>
      <c r="C68" s="11">
        <f t="shared" si="18"/>
        <v>6</v>
      </c>
      <c r="D68" s="11" t="str">
        <f t="shared" si="19"/>
        <v>Q2</v>
      </c>
      <c r="E68" s="11" t="s">
        <v>196</v>
      </c>
      <c r="F68" s="11" t="s">
        <v>197</v>
      </c>
      <c r="G68" s="11" t="s">
        <v>40</v>
      </c>
      <c r="H68" s="11" t="s">
        <v>41</v>
      </c>
      <c r="I68" s="11" t="s">
        <v>42</v>
      </c>
      <c r="J68" s="11" t="s">
        <v>43</v>
      </c>
      <c r="K68" s="11" t="s">
        <v>44</v>
      </c>
      <c r="L68" s="11" t="s">
        <v>56</v>
      </c>
      <c r="M68" s="11" t="s">
        <v>24</v>
      </c>
      <c r="N68" s="11">
        <v>1</v>
      </c>
      <c r="O68" s="33">
        <v>560000</v>
      </c>
      <c r="P68" s="34">
        <v>0.2</v>
      </c>
      <c r="Q68" s="33">
        <v>260000</v>
      </c>
      <c r="R68" s="11" t="s">
        <v>58</v>
      </c>
      <c r="S68" s="14">
        <f t="shared" si="20"/>
        <v>448000</v>
      </c>
      <c r="T68" s="14">
        <f t="shared" si="21"/>
        <v>260000</v>
      </c>
      <c r="U68" s="14">
        <f t="shared" si="22"/>
        <v>188000</v>
      </c>
      <c r="V68" s="35">
        <f t="shared" si="23"/>
        <v>0.41964285714285715</v>
      </c>
      <c r="W68" s="14" t="str">
        <f t="shared" si="24"/>
        <v/>
      </c>
      <c r="X68" s="14" t="str">
        <f t="shared" si="25"/>
        <v/>
      </c>
      <c r="Y68" s="11">
        <f t="shared" si="26"/>
        <v>3</v>
      </c>
    </row>
    <row r="69" spans="1:25" x14ac:dyDescent="0.35">
      <c r="A69" s="11" t="s">
        <v>243</v>
      </c>
      <c r="B69" s="17">
        <v>45816</v>
      </c>
      <c r="C69" s="11">
        <f t="shared" si="18"/>
        <v>6</v>
      </c>
      <c r="D69" s="11" t="str">
        <f t="shared" si="19"/>
        <v>Q2</v>
      </c>
      <c r="E69" s="11" t="s">
        <v>103</v>
      </c>
      <c r="F69" s="11" t="s">
        <v>104</v>
      </c>
      <c r="G69" s="11" t="s">
        <v>40</v>
      </c>
      <c r="H69" s="11" t="s">
        <v>14</v>
      </c>
      <c r="I69" s="11" t="s">
        <v>105</v>
      </c>
      <c r="J69" s="11" t="s">
        <v>18</v>
      </c>
      <c r="K69" s="11" t="s">
        <v>20</v>
      </c>
      <c r="L69" s="11" t="s">
        <v>56</v>
      </c>
      <c r="M69" s="11" t="s">
        <v>57</v>
      </c>
      <c r="N69" s="11">
        <v>4</v>
      </c>
      <c r="O69" s="33">
        <v>1200000</v>
      </c>
      <c r="P69" s="34">
        <v>0</v>
      </c>
      <c r="Q69" s="33">
        <v>620000</v>
      </c>
      <c r="R69" s="11" t="s">
        <v>30</v>
      </c>
      <c r="S69" s="14">
        <f t="shared" si="20"/>
        <v>4800000</v>
      </c>
      <c r="T69" s="14">
        <f t="shared" si="21"/>
        <v>2480000</v>
      </c>
      <c r="U69" s="14">
        <f t="shared" si="22"/>
        <v>2320000</v>
      </c>
      <c r="V69" s="35">
        <f t="shared" si="23"/>
        <v>0.48333333333333334</v>
      </c>
      <c r="W69" s="14">
        <f t="shared" si="24"/>
        <v>4800000</v>
      </c>
      <c r="X69" s="14">
        <f t="shared" si="25"/>
        <v>2320000</v>
      </c>
      <c r="Y69" s="11">
        <f t="shared" si="26"/>
        <v>7</v>
      </c>
    </row>
    <row r="70" spans="1:25" x14ac:dyDescent="0.35">
      <c r="A70" s="11" t="s">
        <v>245</v>
      </c>
      <c r="B70" s="17">
        <v>45817</v>
      </c>
      <c r="C70" s="11">
        <f t="shared" si="18"/>
        <v>6</v>
      </c>
      <c r="D70" s="11" t="str">
        <f t="shared" si="19"/>
        <v>Q2</v>
      </c>
      <c r="E70" s="11" t="s">
        <v>171</v>
      </c>
      <c r="F70" s="11" t="s">
        <v>172</v>
      </c>
      <c r="G70" s="11" t="s">
        <v>12</v>
      </c>
      <c r="H70" s="11" t="s">
        <v>41</v>
      </c>
      <c r="I70" s="11" t="s">
        <v>173</v>
      </c>
      <c r="J70" s="11" t="s">
        <v>54</v>
      </c>
      <c r="K70" s="11" t="s">
        <v>131</v>
      </c>
      <c r="L70" s="11" t="s">
        <v>56</v>
      </c>
      <c r="M70" s="11" t="s">
        <v>57</v>
      </c>
      <c r="N70" s="11">
        <v>6</v>
      </c>
      <c r="O70" s="33">
        <v>690000</v>
      </c>
      <c r="P70" s="34">
        <v>0.2</v>
      </c>
      <c r="Q70" s="33">
        <v>410000</v>
      </c>
      <c r="R70" s="11" t="s">
        <v>58</v>
      </c>
      <c r="S70" s="14">
        <f t="shared" si="20"/>
        <v>3312000</v>
      </c>
      <c r="T70" s="14">
        <f t="shared" si="21"/>
        <v>2460000</v>
      </c>
      <c r="U70" s="14">
        <f t="shared" si="22"/>
        <v>852000</v>
      </c>
      <c r="V70" s="35">
        <f t="shared" si="23"/>
        <v>0.25724637681159418</v>
      </c>
      <c r="W70" s="14" t="str">
        <f t="shared" si="24"/>
        <v/>
      </c>
      <c r="X70" s="14" t="str">
        <f t="shared" si="25"/>
        <v/>
      </c>
      <c r="Y70" s="11">
        <f t="shared" si="26"/>
        <v>1</v>
      </c>
    </row>
    <row r="71" spans="1:25" x14ac:dyDescent="0.35">
      <c r="A71" s="11" t="s">
        <v>246</v>
      </c>
      <c r="B71" s="17">
        <v>45819</v>
      </c>
      <c r="C71" s="11">
        <f t="shared" si="18"/>
        <v>6</v>
      </c>
      <c r="D71" s="11" t="str">
        <f t="shared" si="19"/>
        <v>Q2</v>
      </c>
      <c r="E71" s="11" t="s">
        <v>118</v>
      </c>
      <c r="F71" s="11" t="s">
        <v>119</v>
      </c>
      <c r="G71" s="11" t="s">
        <v>40</v>
      </c>
      <c r="H71" s="11" t="s">
        <v>14</v>
      </c>
      <c r="I71" s="11" t="s">
        <v>16</v>
      </c>
      <c r="J71" s="11" t="s">
        <v>43</v>
      </c>
      <c r="K71" s="11" t="s">
        <v>48</v>
      </c>
      <c r="L71" s="11" t="s">
        <v>56</v>
      </c>
      <c r="M71" s="11" t="s">
        <v>88</v>
      </c>
      <c r="N71" s="11">
        <v>4</v>
      </c>
      <c r="O71" s="33">
        <v>290000</v>
      </c>
      <c r="P71" s="34">
        <v>0.15</v>
      </c>
      <c r="Q71" s="33">
        <v>120000</v>
      </c>
      <c r="R71" s="11" t="s">
        <v>30</v>
      </c>
      <c r="S71" s="14">
        <f t="shared" si="20"/>
        <v>986000</v>
      </c>
      <c r="T71" s="14">
        <f t="shared" si="21"/>
        <v>480000</v>
      </c>
      <c r="U71" s="14">
        <f t="shared" si="22"/>
        <v>506000</v>
      </c>
      <c r="V71" s="35">
        <f t="shared" si="23"/>
        <v>0.51318458417849899</v>
      </c>
      <c r="W71" s="14">
        <f t="shared" si="24"/>
        <v>986000</v>
      </c>
      <c r="X71" s="14">
        <f t="shared" si="25"/>
        <v>506000</v>
      </c>
      <c r="Y71" s="11">
        <f t="shared" si="26"/>
        <v>3</v>
      </c>
    </row>
    <row r="72" spans="1:25" x14ac:dyDescent="0.35">
      <c r="A72" s="11" t="s">
        <v>247</v>
      </c>
      <c r="B72" s="17">
        <v>45819</v>
      </c>
      <c r="C72" s="11">
        <f t="shared" si="18"/>
        <v>6</v>
      </c>
      <c r="D72" s="11" t="str">
        <f t="shared" si="19"/>
        <v>Q2</v>
      </c>
      <c r="E72" s="11" t="s">
        <v>68</v>
      </c>
      <c r="F72" s="11" t="s">
        <v>69</v>
      </c>
      <c r="G72" s="11" t="s">
        <v>40</v>
      </c>
      <c r="H72" s="11" t="s">
        <v>14</v>
      </c>
      <c r="I72" s="11" t="s">
        <v>70</v>
      </c>
      <c r="J72" s="11" t="s">
        <v>18</v>
      </c>
      <c r="K72" s="11" t="s">
        <v>120</v>
      </c>
      <c r="L72" s="11" t="s">
        <v>22</v>
      </c>
      <c r="M72" s="11" t="s">
        <v>106</v>
      </c>
      <c r="N72" s="11">
        <v>2</v>
      </c>
      <c r="O72" s="33">
        <v>280000</v>
      </c>
      <c r="P72" s="34">
        <v>0</v>
      </c>
      <c r="Q72" s="33">
        <v>130000</v>
      </c>
      <c r="R72" s="11" t="s">
        <v>30</v>
      </c>
      <c r="S72" s="14">
        <f t="shared" si="20"/>
        <v>560000</v>
      </c>
      <c r="T72" s="14">
        <f t="shared" si="21"/>
        <v>260000</v>
      </c>
      <c r="U72" s="14">
        <f t="shared" si="22"/>
        <v>300000</v>
      </c>
      <c r="V72" s="35">
        <f t="shared" si="23"/>
        <v>0.5357142857142857</v>
      </c>
      <c r="W72" s="14">
        <f t="shared" si="24"/>
        <v>560000</v>
      </c>
      <c r="X72" s="14">
        <f t="shared" si="25"/>
        <v>300000</v>
      </c>
      <c r="Y72" s="11">
        <f t="shared" si="26"/>
        <v>3</v>
      </c>
    </row>
    <row r="73" spans="1:25" x14ac:dyDescent="0.35">
      <c r="A73" s="11" t="s">
        <v>248</v>
      </c>
      <c r="B73" s="17">
        <v>45824</v>
      </c>
      <c r="C73" s="11">
        <f t="shared" si="18"/>
        <v>6</v>
      </c>
      <c r="D73" s="11" t="str">
        <f t="shared" si="19"/>
        <v>Q2</v>
      </c>
      <c r="E73" s="11" t="s">
        <v>103</v>
      </c>
      <c r="F73" s="11" t="s">
        <v>104</v>
      </c>
      <c r="G73" s="11" t="s">
        <v>40</v>
      </c>
      <c r="H73" s="11" t="s">
        <v>14</v>
      </c>
      <c r="I73" s="11" t="s">
        <v>105</v>
      </c>
      <c r="J73" s="11" t="s">
        <v>18</v>
      </c>
      <c r="K73" s="11" t="s">
        <v>120</v>
      </c>
      <c r="L73" s="11" t="s">
        <v>22</v>
      </c>
      <c r="M73" s="11" t="s">
        <v>24</v>
      </c>
      <c r="N73" s="11">
        <v>2</v>
      </c>
      <c r="O73" s="33">
        <v>280000</v>
      </c>
      <c r="P73" s="34">
        <v>0</v>
      </c>
      <c r="Q73" s="33">
        <v>130000</v>
      </c>
      <c r="R73" s="11" t="s">
        <v>30</v>
      </c>
      <c r="S73" s="14">
        <f t="shared" si="20"/>
        <v>560000</v>
      </c>
      <c r="T73" s="14">
        <f t="shared" si="21"/>
        <v>260000</v>
      </c>
      <c r="U73" s="14">
        <f t="shared" si="22"/>
        <v>300000</v>
      </c>
      <c r="V73" s="35">
        <f t="shared" si="23"/>
        <v>0.5357142857142857</v>
      </c>
      <c r="W73" s="14">
        <f t="shared" si="24"/>
        <v>560000</v>
      </c>
      <c r="X73" s="14">
        <f t="shared" si="25"/>
        <v>300000</v>
      </c>
      <c r="Y73" s="11">
        <f t="shared" si="26"/>
        <v>1</v>
      </c>
    </row>
    <row r="74" spans="1:25" x14ac:dyDescent="0.35">
      <c r="A74" s="11" t="s">
        <v>249</v>
      </c>
      <c r="B74" s="17">
        <v>45825</v>
      </c>
      <c r="C74" s="11">
        <f t="shared" si="18"/>
        <v>6</v>
      </c>
      <c r="D74" s="11" t="str">
        <f t="shared" si="19"/>
        <v>Q2</v>
      </c>
      <c r="E74" s="11" t="s">
        <v>222</v>
      </c>
      <c r="F74" s="11" t="s">
        <v>223</v>
      </c>
      <c r="G74" s="11" t="s">
        <v>40</v>
      </c>
      <c r="H74" s="11" t="s">
        <v>14</v>
      </c>
      <c r="I74" s="11" t="s">
        <v>70</v>
      </c>
      <c r="J74" s="11" t="s">
        <v>18</v>
      </c>
      <c r="K74" s="11" t="s">
        <v>120</v>
      </c>
      <c r="L74" s="11" t="s">
        <v>22</v>
      </c>
      <c r="M74" s="11" t="s">
        <v>57</v>
      </c>
      <c r="N74" s="11">
        <v>1</v>
      </c>
      <c r="O74" s="33">
        <v>280000</v>
      </c>
      <c r="P74" s="34">
        <v>0.05</v>
      </c>
      <c r="Q74" s="33">
        <v>130000</v>
      </c>
      <c r="R74" s="11" t="s">
        <v>58</v>
      </c>
      <c r="S74" s="14">
        <f t="shared" si="20"/>
        <v>266000</v>
      </c>
      <c r="T74" s="14">
        <f t="shared" si="21"/>
        <v>130000</v>
      </c>
      <c r="U74" s="14">
        <f t="shared" si="22"/>
        <v>136000</v>
      </c>
      <c r="V74" s="35">
        <f t="shared" si="23"/>
        <v>0.51127819548872178</v>
      </c>
      <c r="W74" s="14" t="str">
        <f t="shared" si="24"/>
        <v/>
      </c>
      <c r="X74" s="14" t="str">
        <f t="shared" si="25"/>
        <v/>
      </c>
      <c r="Y74" s="11">
        <f t="shared" si="26"/>
        <v>2</v>
      </c>
    </row>
    <row r="75" spans="1:25" x14ac:dyDescent="0.35">
      <c r="A75" s="11" t="s">
        <v>251</v>
      </c>
      <c r="B75" s="17">
        <v>45827</v>
      </c>
      <c r="C75" s="11">
        <f t="shared" si="18"/>
        <v>6</v>
      </c>
      <c r="D75" s="11" t="str">
        <f t="shared" si="19"/>
        <v>Q2</v>
      </c>
      <c r="E75" s="11" t="s">
        <v>90</v>
      </c>
      <c r="F75" s="11" t="s">
        <v>91</v>
      </c>
      <c r="G75" s="11" t="s">
        <v>40</v>
      </c>
      <c r="H75" s="11" t="s">
        <v>63</v>
      </c>
      <c r="I75" s="11" t="s">
        <v>92</v>
      </c>
      <c r="J75" s="11" t="s">
        <v>54</v>
      </c>
      <c r="K75" s="11" t="s">
        <v>75</v>
      </c>
      <c r="L75" s="11" t="s">
        <v>22</v>
      </c>
      <c r="M75" s="11" t="s">
        <v>76</v>
      </c>
      <c r="N75" s="11">
        <v>1</v>
      </c>
      <c r="O75" s="33">
        <v>1900000</v>
      </c>
      <c r="P75" s="34">
        <v>0</v>
      </c>
      <c r="Q75" s="33">
        <v>1200000</v>
      </c>
      <c r="R75" s="11" t="s">
        <v>30</v>
      </c>
      <c r="S75" s="14">
        <f t="shared" si="20"/>
        <v>1900000</v>
      </c>
      <c r="T75" s="14">
        <f t="shared" si="21"/>
        <v>1200000</v>
      </c>
      <c r="U75" s="14">
        <f t="shared" si="22"/>
        <v>700000</v>
      </c>
      <c r="V75" s="35">
        <f t="shared" si="23"/>
        <v>0.36842105263157893</v>
      </c>
      <c r="W75" s="14">
        <f t="shared" si="24"/>
        <v>1900000</v>
      </c>
      <c r="X75" s="14">
        <f t="shared" si="25"/>
        <v>700000</v>
      </c>
      <c r="Y75" s="11">
        <f t="shared" si="26"/>
        <v>4</v>
      </c>
    </row>
    <row r="76" spans="1:25" x14ac:dyDescent="0.35">
      <c r="A76" s="11" t="s">
        <v>253</v>
      </c>
      <c r="B76" s="17">
        <v>45828</v>
      </c>
      <c r="C76" s="11">
        <f t="shared" si="18"/>
        <v>6</v>
      </c>
      <c r="D76" s="11" t="str">
        <f t="shared" si="19"/>
        <v>Q2</v>
      </c>
      <c r="E76" s="11" t="s">
        <v>254</v>
      </c>
      <c r="F76" s="11" t="s">
        <v>255</v>
      </c>
      <c r="G76" s="11" t="s">
        <v>40</v>
      </c>
      <c r="H76" s="11" t="s">
        <v>14</v>
      </c>
      <c r="I76" s="11" t="s">
        <v>16</v>
      </c>
      <c r="J76" s="11" t="s">
        <v>18</v>
      </c>
      <c r="K76" s="11" t="s">
        <v>93</v>
      </c>
      <c r="L76" s="11" t="s">
        <v>22</v>
      </c>
      <c r="M76" s="11" t="s">
        <v>24</v>
      </c>
      <c r="N76" s="11">
        <v>4</v>
      </c>
      <c r="O76" s="33">
        <v>1500000</v>
      </c>
      <c r="P76" s="34">
        <v>0</v>
      </c>
      <c r="Q76" s="33">
        <v>800000</v>
      </c>
      <c r="R76" s="11" t="s">
        <v>30</v>
      </c>
      <c r="S76" s="14">
        <f t="shared" si="20"/>
        <v>6000000</v>
      </c>
      <c r="T76" s="14">
        <f t="shared" si="21"/>
        <v>3200000</v>
      </c>
      <c r="U76" s="14">
        <f t="shared" si="22"/>
        <v>2800000</v>
      </c>
      <c r="V76" s="35">
        <f t="shared" si="23"/>
        <v>0.46666666666666667</v>
      </c>
      <c r="W76" s="14">
        <f t="shared" si="24"/>
        <v>6000000</v>
      </c>
      <c r="X76" s="14">
        <f t="shared" si="25"/>
        <v>2800000</v>
      </c>
      <c r="Y76" s="11">
        <f t="shared" si="26"/>
        <v>5</v>
      </c>
    </row>
    <row r="77" spans="1:25" x14ac:dyDescent="0.35">
      <c r="A77" s="11" t="s">
        <v>256</v>
      </c>
      <c r="B77" s="17">
        <v>45829</v>
      </c>
      <c r="C77" s="11">
        <f t="shared" si="18"/>
        <v>6</v>
      </c>
      <c r="D77" s="11" t="str">
        <f t="shared" si="19"/>
        <v>Q2</v>
      </c>
      <c r="E77" s="11" t="s">
        <v>157</v>
      </c>
      <c r="F77" s="11" t="s">
        <v>158</v>
      </c>
      <c r="G77" s="11" t="s">
        <v>40</v>
      </c>
      <c r="H77" s="11" t="s">
        <v>41</v>
      </c>
      <c r="I77" s="11" t="s">
        <v>80</v>
      </c>
      <c r="J77" s="11" t="s">
        <v>43</v>
      </c>
      <c r="K77" s="11" t="s">
        <v>48</v>
      </c>
      <c r="L77" s="11" t="s">
        <v>56</v>
      </c>
      <c r="M77" s="11" t="s">
        <v>88</v>
      </c>
      <c r="N77" s="11">
        <v>1</v>
      </c>
      <c r="O77" s="33">
        <v>304000</v>
      </c>
      <c r="P77" s="34">
        <v>0.05</v>
      </c>
      <c r="Q77" s="33">
        <v>120000</v>
      </c>
      <c r="R77" s="11" t="s">
        <v>30</v>
      </c>
      <c r="S77" s="14">
        <f t="shared" si="20"/>
        <v>288800</v>
      </c>
      <c r="T77" s="14">
        <f t="shared" si="21"/>
        <v>120000</v>
      </c>
      <c r="U77" s="14">
        <f t="shared" si="22"/>
        <v>168800</v>
      </c>
      <c r="V77" s="35">
        <f t="shared" si="23"/>
        <v>0.58448753462603875</v>
      </c>
      <c r="W77" s="14">
        <f t="shared" si="24"/>
        <v>288800</v>
      </c>
      <c r="X77" s="14">
        <f t="shared" si="25"/>
        <v>168800</v>
      </c>
      <c r="Y77" s="11">
        <f t="shared" si="26"/>
        <v>6</v>
      </c>
    </row>
    <row r="78" spans="1:25" x14ac:dyDescent="0.35">
      <c r="A78" s="11" t="s">
        <v>257</v>
      </c>
      <c r="B78" s="17">
        <v>45830</v>
      </c>
      <c r="C78" s="11">
        <f t="shared" si="18"/>
        <v>6</v>
      </c>
      <c r="D78" s="11" t="str">
        <f t="shared" si="19"/>
        <v>Q2</v>
      </c>
      <c r="E78" s="11" t="s">
        <v>95</v>
      </c>
      <c r="F78" s="11" t="s">
        <v>10</v>
      </c>
      <c r="G78" s="11" t="s">
        <v>12</v>
      </c>
      <c r="H78" s="11" t="s">
        <v>41</v>
      </c>
      <c r="I78" s="11" t="s">
        <v>42</v>
      </c>
      <c r="J78" s="11" t="s">
        <v>54</v>
      </c>
      <c r="K78" s="11" t="s">
        <v>220</v>
      </c>
      <c r="L78" s="11" t="s">
        <v>56</v>
      </c>
      <c r="M78" s="11" t="s">
        <v>49</v>
      </c>
      <c r="N78" s="11">
        <v>2</v>
      </c>
      <c r="O78" s="33">
        <v>450000</v>
      </c>
      <c r="P78" s="34">
        <v>0.15</v>
      </c>
      <c r="Q78" s="33">
        <v>260000</v>
      </c>
      <c r="R78" s="11" t="s">
        <v>30</v>
      </c>
      <c r="S78" s="14">
        <f t="shared" si="20"/>
        <v>765000</v>
      </c>
      <c r="T78" s="14">
        <f t="shared" si="21"/>
        <v>520000</v>
      </c>
      <c r="U78" s="14">
        <f t="shared" si="22"/>
        <v>245000</v>
      </c>
      <c r="V78" s="35">
        <f t="shared" si="23"/>
        <v>0.3202614379084967</v>
      </c>
      <c r="W78" s="14">
        <f t="shared" si="24"/>
        <v>765000</v>
      </c>
      <c r="X78" s="14">
        <f t="shared" si="25"/>
        <v>245000</v>
      </c>
      <c r="Y78" s="11">
        <f t="shared" si="26"/>
        <v>7</v>
      </c>
    </row>
    <row r="79" spans="1:25" x14ac:dyDescent="0.35">
      <c r="A79" s="11" t="s">
        <v>258</v>
      </c>
      <c r="B79" s="17">
        <v>45832</v>
      </c>
      <c r="C79" s="11">
        <f t="shared" si="18"/>
        <v>6</v>
      </c>
      <c r="D79" s="11" t="str">
        <f t="shared" si="19"/>
        <v>Q2</v>
      </c>
      <c r="E79" s="11" t="s">
        <v>178</v>
      </c>
      <c r="F79" s="11" t="s">
        <v>179</v>
      </c>
      <c r="G79" s="11" t="s">
        <v>40</v>
      </c>
      <c r="H79" s="11" t="s">
        <v>41</v>
      </c>
      <c r="I79" s="11" t="s">
        <v>80</v>
      </c>
      <c r="J79" s="11" t="s">
        <v>18</v>
      </c>
      <c r="K79" s="11" t="s">
        <v>120</v>
      </c>
      <c r="L79" s="11" t="s">
        <v>22</v>
      </c>
      <c r="M79" s="11" t="s">
        <v>24</v>
      </c>
      <c r="N79" s="11">
        <v>4</v>
      </c>
      <c r="O79" s="33">
        <v>294000</v>
      </c>
      <c r="P79" s="34">
        <v>0.05</v>
      </c>
      <c r="Q79" s="33">
        <v>130000</v>
      </c>
      <c r="R79" s="11" t="s">
        <v>30</v>
      </c>
      <c r="S79" s="14">
        <f t="shared" si="20"/>
        <v>1117200</v>
      </c>
      <c r="T79" s="14">
        <f t="shared" si="21"/>
        <v>520000</v>
      </c>
      <c r="U79" s="14">
        <f t="shared" si="22"/>
        <v>597200</v>
      </c>
      <c r="V79" s="35">
        <f t="shared" si="23"/>
        <v>0.5345506623702112</v>
      </c>
      <c r="W79" s="14">
        <f t="shared" si="24"/>
        <v>1117200</v>
      </c>
      <c r="X79" s="14">
        <f t="shared" si="25"/>
        <v>597200</v>
      </c>
      <c r="Y79" s="11">
        <f t="shared" si="26"/>
        <v>2</v>
      </c>
    </row>
    <row r="80" spans="1:25" x14ac:dyDescent="0.35">
      <c r="A80" s="11" t="s">
        <v>259</v>
      </c>
      <c r="B80" s="17">
        <v>45833</v>
      </c>
      <c r="C80" s="11">
        <f t="shared" si="18"/>
        <v>6</v>
      </c>
      <c r="D80" s="11" t="str">
        <f t="shared" si="19"/>
        <v>Q2</v>
      </c>
      <c r="E80" s="11" t="s">
        <v>133</v>
      </c>
      <c r="F80" s="11" t="s">
        <v>134</v>
      </c>
      <c r="G80" s="11" t="s">
        <v>40</v>
      </c>
      <c r="H80" s="11" t="s">
        <v>14</v>
      </c>
      <c r="I80" s="11" t="s">
        <v>135</v>
      </c>
      <c r="J80" s="11" t="s">
        <v>18</v>
      </c>
      <c r="K80" s="11" t="s">
        <v>96</v>
      </c>
      <c r="L80" s="11" t="s">
        <v>56</v>
      </c>
      <c r="M80" s="11" t="s">
        <v>49</v>
      </c>
      <c r="N80" s="11">
        <v>3</v>
      </c>
      <c r="O80" s="33">
        <v>750000</v>
      </c>
      <c r="P80" s="34">
        <v>0.05</v>
      </c>
      <c r="Q80" s="33">
        <v>390000</v>
      </c>
      <c r="R80" s="11" t="s">
        <v>30</v>
      </c>
      <c r="S80" s="14">
        <f t="shared" si="20"/>
        <v>2137500</v>
      </c>
      <c r="T80" s="14">
        <f t="shared" si="21"/>
        <v>1170000</v>
      </c>
      <c r="U80" s="14">
        <f t="shared" si="22"/>
        <v>967500</v>
      </c>
      <c r="V80" s="35">
        <f t="shared" si="23"/>
        <v>0.45263157894736844</v>
      </c>
      <c r="W80" s="14">
        <f t="shared" si="24"/>
        <v>2137500</v>
      </c>
      <c r="X80" s="14">
        <f t="shared" si="25"/>
        <v>967500</v>
      </c>
      <c r="Y80" s="11">
        <f t="shared" si="26"/>
        <v>3</v>
      </c>
    </row>
    <row r="81" spans="1:25" x14ac:dyDescent="0.35">
      <c r="A81" s="11" t="s">
        <v>260</v>
      </c>
      <c r="B81" s="17">
        <v>45834</v>
      </c>
      <c r="C81" s="11">
        <f t="shared" si="18"/>
        <v>6</v>
      </c>
      <c r="D81" s="11" t="str">
        <f t="shared" si="19"/>
        <v>Q2</v>
      </c>
      <c r="E81" s="11" t="s">
        <v>113</v>
      </c>
      <c r="F81" s="11" t="s">
        <v>114</v>
      </c>
      <c r="G81" s="11" t="s">
        <v>40</v>
      </c>
      <c r="H81" s="11" t="s">
        <v>14</v>
      </c>
      <c r="I81" s="11" t="s">
        <v>70</v>
      </c>
      <c r="J81" s="11" t="s">
        <v>71</v>
      </c>
      <c r="K81" s="11" t="s">
        <v>87</v>
      </c>
      <c r="L81" s="11" t="s">
        <v>56</v>
      </c>
      <c r="M81" s="11" t="s">
        <v>76</v>
      </c>
      <c r="N81" s="11">
        <v>1</v>
      </c>
      <c r="O81" s="33">
        <v>380000</v>
      </c>
      <c r="P81" s="34">
        <v>0</v>
      </c>
      <c r="Q81" s="33">
        <v>250000</v>
      </c>
      <c r="R81" s="11" t="s">
        <v>30</v>
      </c>
      <c r="S81" s="14">
        <f t="shared" si="20"/>
        <v>380000</v>
      </c>
      <c r="T81" s="14">
        <f t="shared" si="21"/>
        <v>250000</v>
      </c>
      <c r="U81" s="14">
        <f t="shared" si="22"/>
        <v>130000</v>
      </c>
      <c r="V81" s="35">
        <f t="shared" si="23"/>
        <v>0.34210526315789475</v>
      </c>
      <c r="W81" s="14">
        <f t="shared" si="24"/>
        <v>380000</v>
      </c>
      <c r="X81" s="14">
        <f t="shared" si="25"/>
        <v>130000</v>
      </c>
      <c r="Y81" s="11">
        <f t="shared" si="26"/>
        <v>4</v>
      </c>
    </row>
    <row r="82" spans="1:25" x14ac:dyDescent="0.35">
      <c r="A82" s="11" t="s">
        <v>261</v>
      </c>
      <c r="B82" s="17">
        <v>45834</v>
      </c>
      <c r="C82" s="11">
        <f t="shared" si="18"/>
        <v>6</v>
      </c>
      <c r="D82" s="11" t="str">
        <f t="shared" si="19"/>
        <v>Q2</v>
      </c>
      <c r="E82" s="11" t="s">
        <v>236</v>
      </c>
      <c r="F82" s="11" t="s">
        <v>237</v>
      </c>
      <c r="G82" s="11" t="s">
        <v>40</v>
      </c>
      <c r="H82" s="11" t="s">
        <v>63</v>
      </c>
      <c r="I82" s="11" t="s">
        <v>238</v>
      </c>
      <c r="J82" s="11" t="s">
        <v>65</v>
      </c>
      <c r="K82" s="11" t="s">
        <v>262</v>
      </c>
      <c r="L82" s="11" t="s">
        <v>22</v>
      </c>
      <c r="M82" s="11" t="s">
        <v>106</v>
      </c>
      <c r="N82" s="11">
        <v>1</v>
      </c>
      <c r="O82" s="33">
        <v>2520000</v>
      </c>
      <c r="P82" s="34">
        <v>0</v>
      </c>
      <c r="Q82" s="33">
        <v>1550000</v>
      </c>
      <c r="R82" s="11" t="s">
        <v>30</v>
      </c>
      <c r="S82" s="14">
        <f t="shared" si="20"/>
        <v>2520000</v>
      </c>
      <c r="T82" s="14">
        <f t="shared" si="21"/>
        <v>1550000</v>
      </c>
      <c r="U82" s="14">
        <f t="shared" si="22"/>
        <v>970000</v>
      </c>
      <c r="V82" s="35">
        <f t="shared" si="23"/>
        <v>0.38492063492063494</v>
      </c>
      <c r="W82" s="14">
        <f t="shared" si="24"/>
        <v>2520000</v>
      </c>
      <c r="X82" s="14">
        <f t="shared" si="25"/>
        <v>970000</v>
      </c>
      <c r="Y82" s="11">
        <f t="shared" si="26"/>
        <v>4</v>
      </c>
    </row>
    <row r="83" spans="1:25" x14ac:dyDescent="0.35">
      <c r="A83" s="11" t="s">
        <v>263</v>
      </c>
      <c r="B83" s="17">
        <v>45835</v>
      </c>
      <c r="C83" s="11">
        <f t="shared" si="18"/>
        <v>6</v>
      </c>
      <c r="D83" s="11" t="str">
        <f t="shared" si="19"/>
        <v>Q2</v>
      </c>
      <c r="E83" s="11" t="s">
        <v>188</v>
      </c>
      <c r="F83" s="11" t="s">
        <v>189</v>
      </c>
      <c r="G83" s="11" t="s">
        <v>40</v>
      </c>
      <c r="H83" s="11" t="s">
        <v>14</v>
      </c>
      <c r="I83" s="11" t="s">
        <v>16</v>
      </c>
      <c r="J83" s="11" t="s">
        <v>65</v>
      </c>
      <c r="K83" s="11" t="s">
        <v>201</v>
      </c>
      <c r="L83" s="11" t="s">
        <v>22</v>
      </c>
      <c r="M83" s="11" t="s">
        <v>24</v>
      </c>
      <c r="N83" s="11">
        <v>3</v>
      </c>
      <c r="O83" s="33">
        <v>1029000</v>
      </c>
      <c r="P83" s="34">
        <v>0</v>
      </c>
      <c r="Q83" s="33">
        <v>600000</v>
      </c>
      <c r="R83" s="11" t="s">
        <v>30</v>
      </c>
      <c r="S83" s="14">
        <f t="shared" si="20"/>
        <v>3087000</v>
      </c>
      <c r="T83" s="14">
        <f t="shared" si="21"/>
        <v>1800000</v>
      </c>
      <c r="U83" s="14">
        <f t="shared" si="22"/>
        <v>1287000</v>
      </c>
      <c r="V83" s="35">
        <f t="shared" si="23"/>
        <v>0.41690962099125367</v>
      </c>
      <c r="W83" s="14">
        <f t="shared" si="24"/>
        <v>3087000</v>
      </c>
      <c r="X83" s="14">
        <f t="shared" si="25"/>
        <v>1287000</v>
      </c>
      <c r="Y83" s="11">
        <f t="shared" si="26"/>
        <v>5</v>
      </c>
    </row>
    <row r="84" spans="1:25" x14ac:dyDescent="0.35">
      <c r="A84" s="11" t="s">
        <v>264</v>
      </c>
      <c r="B84" s="17">
        <v>45838</v>
      </c>
      <c r="C84" s="11">
        <f t="shared" si="18"/>
        <v>6</v>
      </c>
      <c r="D84" s="11" t="str">
        <f t="shared" si="19"/>
        <v>Q2</v>
      </c>
      <c r="E84" s="11" t="s">
        <v>68</v>
      </c>
      <c r="F84" s="11" t="s">
        <v>69</v>
      </c>
      <c r="G84" s="11" t="s">
        <v>40</v>
      </c>
      <c r="H84" s="11" t="s">
        <v>14</v>
      </c>
      <c r="I84" s="11" t="s">
        <v>70</v>
      </c>
      <c r="J84" s="11" t="s">
        <v>71</v>
      </c>
      <c r="K84" s="11" t="s">
        <v>72</v>
      </c>
      <c r="L84" s="11" t="s">
        <v>56</v>
      </c>
      <c r="M84" s="11" t="s">
        <v>49</v>
      </c>
      <c r="N84" s="11">
        <v>1</v>
      </c>
      <c r="O84" s="33">
        <v>210000</v>
      </c>
      <c r="P84" s="34">
        <v>0.1</v>
      </c>
      <c r="Q84" s="33">
        <v>120000</v>
      </c>
      <c r="R84" s="11" t="s">
        <v>30</v>
      </c>
      <c r="S84" s="14">
        <f t="shared" si="20"/>
        <v>189000</v>
      </c>
      <c r="T84" s="14">
        <f t="shared" si="21"/>
        <v>120000</v>
      </c>
      <c r="U84" s="14">
        <f t="shared" si="22"/>
        <v>69000</v>
      </c>
      <c r="V84" s="35">
        <f t="shared" si="23"/>
        <v>0.36507936507936506</v>
      </c>
      <c r="W84" s="14">
        <f t="shared" si="24"/>
        <v>189000</v>
      </c>
      <c r="X84" s="14">
        <f t="shared" si="25"/>
        <v>69000</v>
      </c>
      <c r="Y84" s="11">
        <f t="shared" si="26"/>
        <v>1</v>
      </c>
    </row>
    <row r="85" spans="1:25" x14ac:dyDescent="0.35">
      <c r="A85" s="11" t="s">
        <v>265</v>
      </c>
      <c r="B85" s="17">
        <v>45838</v>
      </c>
      <c r="C85" s="11">
        <f t="shared" si="18"/>
        <v>6</v>
      </c>
      <c r="D85" s="11" t="str">
        <f t="shared" si="19"/>
        <v>Q2</v>
      </c>
      <c r="E85" s="11" t="s">
        <v>266</v>
      </c>
      <c r="F85" s="11" t="s">
        <v>267</v>
      </c>
      <c r="G85" s="11" t="s">
        <v>40</v>
      </c>
      <c r="H85" s="11" t="s">
        <v>41</v>
      </c>
      <c r="I85" s="11" t="s">
        <v>86</v>
      </c>
      <c r="J85" s="11" t="s">
        <v>71</v>
      </c>
      <c r="K85" s="11" t="s">
        <v>72</v>
      </c>
      <c r="L85" s="11" t="s">
        <v>73</v>
      </c>
      <c r="M85" s="11" t="s">
        <v>24</v>
      </c>
      <c r="N85" s="11">
        <v>2</v>
      </c>
      <c r="O85" s="33">
        <v>220000</v>
      </c>
      <c r="P85" s="34">
        <v>0.15</v>
      </c>
      <c r="Q85" s="33">
        <v>120000</v>
      </c>
      <c r="R85" s="11" t="s">
        <v>30</v>
      </c>
      <c r="S85" s="14">
        <f t="shared" si="20"/>
        <v>374000</v>
      </c>
      <c r="T85" s="14">
        <f t="shared" si="21"/>
        <v>240000</v>
      </c>
      <c r="U85" s="14">
        <f t="shared" si="22"/>
        <v>134000</v>
      </c>
      <c r="V85" s="35">
        <f t="shared" si="23"/>
        <v>0.35828877005347592</v>
      </c>
      <c r="W85" s="14">
        <f t="shared" si="24"/>
        <v>374000</v>
      </c>
      <c r="X85" s="14">
        <f t="shared" si="25"/>
        <v>134000</v>
      </c>
      <c r="Y85" s="11">
        <f t="shared" si="26"/>
        <v>1</v>
      </c>
    </row>
    <row r="86" spans="1:25" x14ac:dyDescent="0.35">
      <c r="A86" s="11" t="s">
        <v>268</v>
      </c>
      <c r="B86" s="17">
        <v>45840</v>
      </c>
      <c r="C86" s="11">
        <f t="shared" si="18"/>
        <v>7</v>
      </c>
      <c r="D86" s="11" t="str">
        <f t="shared" si="19"/>
        <v>Q3</v>
      </c>
      <c r="E86" s="11" t="s">
        <v>118</v>
      </c>
      <c r="F86" s="11" t="s">
        <v>119</v>
      </c>
      <c r="G86" s="11" t="s">
        <v>40</v>
      </c>
      <c r="H86" s="11" t="s">
        <v>14</v>
      </c>
      <c r="I86" s="11" t="s">
        <v>16</v>
      </c>
      <c r="J86" s="11" t="s">
        <v>54</v>
      </c>
      <c r="K86" s="11" t="s">
        <v>220</v>
      </c>
      <c r="L86" s="11" t="s">
        <v>56</v>
      </c>
      <c r="M86" s="11" t="s">
        <v>88</v>
      </c>
      <c r="N86" s="11">
        <v>1</v>
      </c>
      <c r="O86" s="33">
        <v>450000</v>
      </c>
      <c r="P86" s="34">
        <v>0.05</v>
      </c>
      <c r="Q86" s="33">
        <v>260000</v>
      </c>
      <c r="R86" s="11" t="s">
        <v>30</v>
      </c>
      <c r="S86" s="14">
        <f t="shared" si="20"/>
        <v>427500</v>
      </c>
      <c r="T86" s="14">
        <f t="shared" si="21"/>
        <v>260000</v>
      </c>
      <c r="U86" s="14">
        <f t="shared" si="22"/>
        <v>167500</v>
      </c>
      <c r="V86" s="35">
        <f t="shared" si="23"/>
        <v>0.391812865497076</v>
      </c>
      <c r="W86" s="14">
        <f t="shared" si="24"/>
        <v>427500</v>
      </c>
      <c r="X86" s="14">
        <f t="shared" si="25"/>
        <v>167500</v>
      </c>
      <c r="Y86" s="11">
        <f t="shared" si="26"/>
        <v>3</v>
      </c>
    </row>
    <row r="87" spans="1:25" x14ac:dyDescent="0.35">
      <c r="A87" s="11" t="s">
        <v>270</v>
      </c>
      <c r="B87" s="17">
        <v>45842</v>
      </c>
      <c r="C87" s="11">
        <f t="shared" si="18"/>
        <v>7</v>
      </c>
      <c r="D87" s="11" t="str">
        <f t="shared" si="19"/>
        <v>Q3</v>
      </c>
      <c r="E87" s="11" t="s">
        <v>271</v>
      </c>
      <c r="F87" s="11" t="s">
        <v>272</v>
      </c>
      <c r="G87" s="11" t="s">
        <v>40</v>
      </c>
      <c r="H87" s="11" t="s">
        <v>14</v>
      </c>
      <c r="I87" s="11" t="s">
        <v>135</v>
      </c>
      <c r="J87" s="11" t="s">
        <v>71</v>
      </c>
      <c r="K87" s="11" t="s">
        <v>72</v>
      </c>
      <c r="L87" s="11" t="s">
        <v>56</v>
      </c>
      <c r="M87" s="11" t="s">
        <v>24</v>
      </c>
      <c r="N87" s="11">
        <v>1</v>
      </c>
      <c r="O87" s="33">
        <v>210000</v>
      </c>
      <c r="P87" s="34">
        <v>0.1</v>
      </c>
      <c r="Q87" s="33">
        <v>120000</v>
      </c>
      <c r="R87" s="11" t="s">
        <v>30</v>
      </c>
      <c r="S87" s="14">
        <f t="shared" si="20"/>
        <v>189000</v>
      </c>
      <c r="T87" s="14">
        <f t="shared" si="21"/>
        <v>120000</v>
      </c>
      <c r="U87" s="14">
        <f t="shared" si="22"/>
        <v>69000</v>
      </c>
      <c r="V87" s="35">
        <f t="shared" si="23"/>
        <v>0.36507936507936506</v>
      </c>
      <c r="W87" s="14">
        <f t="shared" si="24"/>
        <v>189000</v>
      </c>
      <c r="X87" s="14">
        <f t="shared" si="25"/>
        <v>69000</v>
      </c>
      <c r="Y87" s="11">
        <f t="shared" si="26"/>
        <v>5</v>
      </c>
    </row>
    <row r="88" spans="1:25" x14ac:dyDescent="0.35">
      <c r="A88" s="11" t="s">
        <v>274</v>
      </c>
      <c r="B88" s="17">
        <v>45844</v>
      </c>
      <c r="C88" s="11">
        <f t="shared" si="18"/>
        <v>7</v>
      </c>
      <c r="D88" s="11" t="str">
        <f t="shared" si="19"/>
        <v>Q3</v>
      </c>
      <c r="E88" s="11" t="s">
        <v>175</v>
      </c>
      <c r="F88" s="11" t="s">
        <v>176</v>
      </c>
      <c r="G88" s="11" t="s">
        <v>12</v>
      </c>
      <c r="H88" s="11" t="s">
        <v>41</v>
      </c>
      <c r="I88" s="11" t="s">
        <v>80</v>
      </c>
      <c r="J88" s="11" t="s">
        <v>54</v>
      </c>
      <c r="K88" s="11" t="s">
        <v>220</v>
      </c>
      <c r="L88" s="11" t="s">
        <v>22</v>
      </c>
      <c r="M88" s="11" t="s">
        <v>76</v>
      </c>
      <c r="N88" s="11">
        <v>5</v>
      </c>
      <c r="O88" s="33">
        <v>450000</v>
      </c>
      <c r="P88" s="34">
        <v>0</v>
      </c>
      <c r="Q88" s="33">
        <v>260000</v>
      </c>
      <c r="R88" s="11" t="s">
        <v>30</v>
      </c>
      <c r="S88" s="14">
        <f t="shared" si="20"/>
        <v>2250000</v>
      </c>
      <c r="T88" s="14">
        <f t="shared" si="21"/>
        <v>1300000</v>
      </c>
      <c r="U88" s="14">
        <f t="shared" si="22"/>
        <v>950000</v>
      </c>
      <c r="V88" s="35">
        <f t="shared" si="23"/>
        <v>0.42222222222222222</v>
      </c>
      <c r="W88" s="14">
        <f t="shared" si="24"/>
        <v>2250000</v>
      </c>
      <c r="X88" s="14">
        <f t="shared" si="25"/>
        <v>950000</v>
      </c>
      <c r="Y88" s="11">
        <f t="shared" si="26"/>
        <v>7</v>
      </c>
    </row>
    <row r="89" spans="1:25" x14ac:dyDescent="0.35">
      <c r="A89" s="11" t="s">
        <v>276</v>
      </c>
      <c r="B89" s="17">
        <v>45847</v>
      </c>
      <c r="C89" s="11">
        <f t="shared" si="18"/>
        <v>7</v>
      </c>
      <c r="D89" s="11" t="str">
        <f t="shared" si="19"/>
        <v>Q3</v>
      </c>
      <c r="E89" s="11" t="s">
        <v>95</v>
      </c>
      <c r="F89" s="11" t="s">
        <v>10</v>
      </c>
      <c r="G89" s="11" t="s">
        <v>12</v>
      </c>
      <c r="H89" s="11" t="s">
        <v>41</v>
      </c>
      <c r="I89" s="11" t="s">
        <v>42</v>
      </c>
      <c r="J89" s="11" t="s">
        <v>43</v>
      </c>
      <c r="K89" s="11" t="s">
        <v>127</v>
      </c>
      <c r="L89" s="11" t="s">
        <v>22</v>
      </c>
      <c r="M89" s="11" t="s">
        <v>88</v>
      </c>
      <c r="N89" s="11">
        <v>3</v>
      </c>
      <c r="O89" s="33">
        <v>304000</v>
      </c>
      <c r="P89" s="34">
        <v>0.05</v>
      </c>
      <c r="Q89" s="33">
        <v>150000</v>
      </c>
      <c r="R89" s="11" t="s">
        <v>30</v>
      </c>
      <c r="S89" s="14">
        <f t="shared" si="20"/>
        <v>866400</v>
      </c>
      <c r="T89" s="14">
        <f t="shared" si="21"/>
        <v>450000</v>
      </c>
      <c r="U89" s="14">
        <f t="shared" si="22"/>
        <v>416400</v>
      </c>
      <c r="V89" s="35">
        <f t="shared" si="23"/>
        <v>0.4806094182825485</v>
      </c>
      <c r="W89" s="14">
        <f t="shared" si="24"/>
        <v>866400</v>
      </c>
      <c r="X89" s="14">
        <f t="shared" si="25"/>
        <v>416400</v>
      </c>
      <c r="Y89" s="11">
        <f t="shared" si="26"/>
        <v>3</v>
      </c>
    </row>
    <row r="90" spans="1:25" x14ac:dyDescent="0.35">
      <c r="A90" s="11" t="s">
        <v>277</v>
      </c>
      <c r="B90" s="17">
        <v>45856</v>
      </c>
      <c r="C90" s="11">
        <f t="shared" si="18"/>
        <v>7</v>
      </c>
      <c r="D90" s="11" t="str">
        <f t="shared" si="19"/>
        <v>Q3</v>
      </c>
      <c r="E90" s="11" t="s">
        <v>181</v>
      </c>
      <c r="F90" s="11" t="s">
        <v>182</v>
      </c>
      <c r="G90" s="11" t="s">
        <v>40</v>
      </c>
      <c r="H90" s="11" t="s">
        <v>41</v>
      </c>
      <c r="I90" s="11" t="s">
        <v>173</v>
      </c>
      <c r="J90" s="11" t="s">
        <v>54</v>
      </c>
      <c r="K90" s="11" t="s">
        <v>220</v>
      </c>
      <c r="L90" s="11" t="s">
        <v>56</v>
      </c>
      <c r="M90" s="11" t="s">
        <v>159</v>
      </c>
      <c r="N90" s="11">
        <v>4</v>
      </c>
      <c r="O90" s="33">
        <v>472000</v>
      </c>
      <c r="P90" s="34">
        <v>0.05</v>
      </c>
      <c r="Q90" s="33">
        <v>260000</v>
      </c>
      <c r="R90" s="11" t="s">
        <v>30</v>
      </c>
      <c r="S90" s="14">
        <f t="shared" si="20"/>
        <v>1793600</v>
      </c>
      <c r="T90" s="14">
        <f t="shared" si="21"/>
        <v>1040000</v>
      </c>
      <c r="U90" s="14">
        <f t="shared" si="22"/>
        <v>753600</v>
      </c>
      <c r="V90" s="35">
        <f t="shared" si="23"/>
        <v>0.42016057091882247</v>
      </c>
      <c r="W90" s="14">
        <f t="shared" si="24"/>
        <v>1793600</v>
      </c>
      <c r="X90" s="14">
        <f t="shared" si="25"/>
        <v>753600</v>
      </c>
      <c r="Y90" s="11">
        <f t="shared" si="26"/>
        <v>5</v>
      </c>
    </row>
    <row r="91" spans="1:25" x14ac:dyDescent="0.35">
      <c r="A91" s="11" t="s">
        <v>278</v>
      </c>
      <c r="B91" s="17">
        <v>45856</v>
      </c>
      <c r="C91" s="11">
        <f t="shared" si="18"/>
        <v>7</v>
      </c>
      <c r="D91" s="11" t="str">
        <f t="shared" si="19"/>
        <v>Q3</v>
      </c>
      <c r="E91" s="11" t="s">
        <v>222</v>
      </c>
      <c r="F91" s="11" t="s">
        <v>223</v>
      </c>
      <c r="G91" s="11" t="s">
        <v>40</v>
      </c>
      <c r="H91" s="11" t="s">
        <v>14</v>
      </c>
      <c r="I91" s="11" t="s">
        <v>70</v>
      </c>
      <c r="J91" s="11" t="s">
        <v>65</v>
      </c>
      <c r="K91" s="11" t="s">
        <v>262</v>
      </c>
      <c r="L91" s="11" t="s">
        <v>56</v>
      </c>
      <c r="M91" s="11" t="s">
        <v>88</v>
      </c>
      <c r="N91" s="11">
        <v>2</v>
      </c>
      <c r="O91" s="33">
        <v>2400000</v>
      </c>
      <c r="P91" s="34">
        <v>0.1</v>
      </c>
      <c r="Q91" s="33">
        <v>1550000</v>
      </c>
      <c r="R91" s="11" t="s">
        <v>30</v>
      </c>
      <c r="S91" s="14">
        <f t="shared" si="20"/>
        <v>4320000</v>
      </c>
      <c r="T91" s="14">
        <f t="shared" si="21"/>
        <v>3100000</v>
      </c>
      <c r="U91" s="14">
        <f t="shared" si="22"/>
        <v>1220000</v>
      </c>
      <c r="V91" s="35">
        <f t="shared" si="23"/>
        <v>0.28240740740740738</v>
      </c>
      <c r="W91" s="14">
        <f t="shared" si="24"/>
        <v>4320000</v>
      </c>
      <c r="X91" s="14">
        <f t="shared" si="25"/>
        <v>1220000</v>
      </c>
      <c r="Y91" s="11">
        <f t="shared" si="26"/>
        <v>5</v>
      </c>
    </row>
    <row r="92" spans="1:25" x14ac:dyDescent="0.35">
      <c r="A92" s="11" t="s">
        <v>279</v>
      </c>
      <c r="B92" s="17">
        <v>45857</v>
      </c>
      <c r="C92" s="11">
        <f t="shared" si="18"/>
        <v>7</v>
      </c>
      <c r="D92" s="11" t="str">
        <f t="shared" si="19"/>
        <v>Q3</v>
      </c>
      <c r="E92" s="11" t="s">
        <v>188</v>
      </c>
      <c r="F92" s="11" t="s">
        <v>189</v>
      </c>
      <c r="G92" s="11" t="s">
        <v>40</v>
      </c>
      <c r="H92" s="11" t="s">
        <v>14</v>
      </c>
      <c r="I92" s="11" t="s">
        <v>16</v>
      </c>
      <c r="J92" s="11" t="s">
        <v>54</v>
      </c>
      <c r="K92" s="11" t="s">
        <v>75</v>
      </c>
      <c r="L92" s="11" t="s">
        <v>56</v>
      </c>
      <c r="M92" s="11" t="s">
        <v>57</v>
      </c>
      <c r="N92" s="11">
        <v>2</v>
      </c>
      <c r="O92" s="33">
        <v>1900000</v>
      </c>
      <c r="P92" s="34">
        <v>0.15</v>
      </c>
      <c r="Q92" s="33">
        <v>1200000</v>
      </c>
      <c r="R92" s="11" t="s">
        <v>30</v>
      </c>
      <c r="S92" s="14">
        <f t="shared" si="20"/>
        <v>3230000</v>
      </c>
      <c r="T92" s="14">
        <f t="shared" si="21"/>
        <v>2400000</v>
      </c>
      <c r="U92" s="14">
        <f t="shared" si="22"/>
        <v>830000</v>
      </c>
      <c r="V92" s="35">
        <f t="shared" si="23"/>
        <v>0.25696594427244585</v>
      </c>
      <c r="W92" s="14">
        <f t="shared" si="24"/>
        <v>3230000</v>
      </c>
      <c r="X92" s="14">
        <f t="shared" si="25"/>
        <v>830000</v>
      </c>
      <c r="Y92" s="11">
        <f t="shared" si="26"/>
        <v>6</v>
      </c>
    </row>
    <row r="93" spans="1:25" x14ac:dyDescent="0.35">
      <c r="A93" s="11" t="s">
        <v>280</v>
      </c>
      <c r="B93" s="17">
        <v>45859</v>
      </c>
      <c r="C93" s="11">
        <f t="shared" si="18"/>
        <v>7</v>
      </c>
      <c r="D93" s="11" t="str">
        <f t="shared" si="19"/>
        <v>Q3</v>
      </c>
      <c r="E93" s="11" t="s">
        <v>281</v>
      </c>
      <c r="F93" s="11" t="s">
        <v>282</v>
      </c>
      <c r="G93" s="11" t="s">
        <v>12</v>
      </c>
      <c r="H93" s="11" t="s">
        <v>63</v>
      </c>
      <c r="I93" s="11" t="s">
        <v>64</v>
      </c>
      <c r="J93" s="11" t="s">
        <v>54</v>
      </c>
      <c r="K93" s="11" t="s">
        <v>131</v>
      </c>
      <c r="L93" s="11" t="s">
        <v>97</v>
      </c>
      <c r="M93" s="11" t="s">
        <v>57</v>
      </c>
      <c r="N93" s="11">
        <v>5</v>
      </c>
      <c r="O93" s="33">
        <v>724000</v>
      </c>
      <c r="P93" s="34">
        <v>0.05</v>
      </c>
      <c r="Q93" s="33">
        <v>410000</v>
      </c>
      <c r="R93" s="11" t="s">
        <v>30</v>
      </c>
      <c r="S93" s="14">
        <f t="shared" si="20"/>
        <v>3439000</v>
      </c>
      <c r="T93" s="14">
        <f t="shared" si="21"/>
        <v>2050000</v>
      </c>
      <c r="U93" s="14">
        <f t="shared" si="22"/>
        <v>1389000</v>
      </c>
      <c r="V93" s="35">
        <f t="shared" si="23"/>
        <v>0.40389648153533003</v>
      </c>
      <c r="W93" s="14">
        <f t="shared" si="24"/>
        <v>3439000</v>
      </c>
      <c r="X93" s="14">
        <f t="shared" si="25"/>
        <v>1389000</v>
      </c>
      <c r="Y93" s="11">
        <f t="shared" si="26"/>
        <v>1</v>
      </c>
    </row>
    <row r="94" spans="1:25" x14ac:dyDescent="0.35">
      <c r="A94" s="11" t="s">
        <v>283</v>
      </c>
      <c r="B94" s="17">
        <v>45860</v>
      </c>
      <c r="C94" s="11">
        <f t="shared" si="18"/>
        <v>7</v>
      </c>
      <c r="D94" s="11" t="str">
        <f t="shared" si="19"/>
        <v>Q3</v>
      </c>
      <c r="E94" s="11" t="s">
        <v>164</v>
      </c>
      <c r="F94" s="11" t="s">
        <v>165</v>
      </c>
      <c r="G94" s="11" t="s">
        <v>12</v>
      </c>
      <c r="H94" s="11" t="s">
        <v>14</v>
      </c>
      <c r="I94" s="11" t="s">
        <v>16</v>
      </c>
      <c r="J94" s="11" t="s">
        <v>18</v>
      </c>
      <c r="K94" s="11" t="s">
        <v>20</v>
      </c>
      <c r="L94" s="11" t="s">
        <v>22</v>
      </c>
      <c r="M94" s="11" t="s">
        <v>24</v>
      </c>
      <c r="N94" s="11">
        <v>5</v>
      </c>
      <c r="O94" s="33">
        <v>1140000</v>
      </c>
      <c r="P94" s="34">
        <v>0.05</v>
      </c>
      <c r="Q94" s="33">
        <v>620000</v>
      </c>
      <c r="R94" s="11" t="s">
        <v>30</v>
      </c>
      <c r="S94" s="14">
        <f t="shared" si="20"/>
        <v>5415000</v>
      </c>
      <c r="T94" s="14">
        <f t="shared" si="21"/>
        <v>3100000</v>
      </c>
      <c r="U94" s="14">
        <f t="shared" si="22"/>
        <v>2315000</v>
      </c>
      <c r="V94" s="35">
        <f t="shared" si="23"/>
        <v>0.4275161588180979</v>
      </c>
      <c r="W94" s="14">
        <f t="shared" si="24"/>
        <v>5415000</v>
      </c>
      <c r="X94" s="14">
        <f t="shared" si="25"/>
        <v>2315000</v>
      </c>
      <c r="Y94" s="11">
        <f t="shared" si="26"/>
        <v>2</v>
      </c>
    </row>
    <row r="95" spans="1:25" x14ac:dyDescent="0.35">
      <c r="A95" s="11" t="s">
        <v>284</v>
      </c>
      <c r="B95" s="17">
        <v>45861</v>
      </c>
      <c r="C95" s="11">
        <f t="shared" si="18"/>
        <v>7</v>
      </c>
      <c r="D95" s="11" t="str">
        <f t="shared" si="19"/>
        <v>Q3</v>
      </c>
      <c r="E95" s="11" t="s">
        <v>285</v>
      </c>
      <c r="F95" s="11" t="s">
        <v>286</v>
      </c>
      <c r="G95" s="11" t="s">
        <v>12</v>
      </c>
      <c r="H95" s="11" t="s">
        <v>14</v>
      </c>
      <c r="I95" s="11" t="s">
        <v>70</v>
      </c>
      <c r="J95" s="11" t="s">
        <v>18</v>
      </c>
      <c r="K95" s="11" t="s">
        <v>93</v>
      </c>
      <c r="L95" s="11" t="s">
        <v>97</v>
      </c>
      <c r="M95" s="11" t="s">
        <v>106</v>
      </c>
      <c r="N95" s="11">
        <v>6</v>
      </c>
      <c r="O95" s="33">
        <v>1500000</v>
      </c>
      <c r="P95" s="34">
        <v>0.1</v>
      </c>
      <c r="Q95" s="33">
        <v>800000</v>
      </c>
      <c r="R95" s="11" t="s">
        <v>30</v>
      </c>
      <c r="S95" s="14">
        <f t="shared" si="20"/>
        <v>8100000</v>
      </c>
      <c r="T95" s="14">
        <f t="shared" si="21"/>
        <v>4800000</v>
      </c>
      <c r="U95" s="14">
        <f t="shared" si="22"/>
        <v>3300000</v>
      </c>
      <c r="V95" s="35">
        <f t="shared" si="23"/>
        <v>0.40740740740740738</v>
      </c>
      <c r="W95" s="14">
        <f t="shared" si="24"/>
        <v>8100000</v>
      </c>
      <c r="X95" s="14">
        <f t="shared" si="25"/>
        <v>3300000</v>
      </c>
      <c r="Y95" s="11">
        <f t="shared" si="26"/>
        <v>3</v>
      </c>
    </row>
    <row r="96" spans="1:25" x14ac:dyDescent="0.35">
      <c r="A96" s="11" t="s">
        <v>287</v>
      </c>
      <c r="B96" s="17">
        <v>45865</v>
      </c>
      <c r="C96" s="11">
        <f t="shared" si="18"/>
        <v>7</v>
      </c>
      <c r="D96" s="11" t="str">
        <f t="shared" si="19"/>
        <v>Q3</v>
      </c>
      <c r="E96" s="11" t="s">
        <v>142</v>
      </c>
      <c r="F96" s="11" t="s">
        <v>143</v>
      </c>
      <c r="G96" s="11" t="s">
        <v>12</v>
      </c>
      <c r="H96" s="11" t="s">
        <v>41</v>
      </c>
      <c r="I96" s="11" t="s">
        <v>42</v>
      </c>
      <c r="J96" s="11" t="s">
        <v>18</v>
      </c>
      <c r="K96" s="11" t="s">
        <v>93</v>
      </c>
      <c r="L96" s="11" t="s">
        <v>97</v>
      </c>
      <c r="M96" s="11" t="s">
        <v>82</v>
      </c>
      <c r="N96" s="11">
        <v>3</v>
      </c>
      <c r="O96" s="33">
        <v>1575000</v>
      </c>
      <c r="P96" s="34">
        <v>0.15</v>
      </c>
      <c r="Q96" s="33">
        <v>800000</v>
      </c>
      <c r="R96" s="11" t="s">
        <v>98</v>
      </c>
      <c r="S96" s="14">
        <f t="shared" si="20"/>
        <v>4016250</v>
      </c>
      <c r="T96" s="14">
        <f t="shared" si="21"/>
        <v>2400000</v>
      </c>
      <c r="U96" s="14">
        <f t="shared" si="22"/>
        <v>1616250</v>
      </c>
      <c r="V96" s="35">
        <f t="shared" si="23"/>
        <v>0.40242763772175538</v>
      </c>
      <c r="W96" s="14" t="str">
        <f t="shared" si="24"/>
        <v/>
      </c>
      <c r="X96" s="14" t="str">
        <f t="shared" si="25"/>
        <v/>
      </c>
      <c r="Y96" s="11">
        <f t="shared" si="26"/>
        <v>7</v>
      </c>
    </row>
    <row r="97" spans="1:25" x14ac:dyDescent="0.35">
      <c r="A97" s="11" t="s">
        <v>288</v>
      </c>
      <c r="B97" s="17">
        <v>45865</v>
      </c>
      <c r="C97" s="11">
        <f t="shared" si="18"/>
        <v>7</v>
      </c>
      <c r="D97" s="11" t="str">
        <f t="shared" si="19"/>
        <v>Q3</v>
      </c>
      <c r="E97" s="11" t="s">
        <v>213</v>
      </c>
      <c r="F97" s="11" t="s">
        <v>214</v>
      </c>
      <c r="G97" s="11" t="s">
        <v>40</v>
      </c>
      <c r="H97" s="11" t="s">
        <v>14</v>
      </c>
      <c r="I97" s="11" t="s">
        <v>70</v>
      </c>
      <c r="J97" s="11" t="s">
        <v>43</v>
      </c>
      <c r="K97" s="11" t="s">
        <v>48</v>
      </c>
      <c r="L97" s="11" t="s">
        <v>73</v>
      </c>
      <c r="M97" s="11" t="s">
        <v>76</v>
      </c>
      <c r="N97" s="11">
        <v>1</v>
      </c>
      <c r="O97" s="33">
        <v>290000</v>
      </c>
      <c r="P97" s="34">
        <v>0.1</v>
      </c>
      <c r="Q97" s="33">
        <v>120000</v>
      </c>
      <c r="R97" s="11" t="s">
        <v>30</v>
      </c>
      <c r="S97" s="14">
        <f t="shared" si="20"/>
        <v>261000</v>
      </c>
      <c r="T97" s="14">
        <f t="shared" si="21"/>
        <v>120000</v>
      </c>
      <c r="U97" s="14">
        <f t="shared" si="22"/>
        <v>141000</v>
      </c>
      <c r="V97" s="35">
        <f t="shared" si="23"/>
        <v>0.54022988505747127</v>
      </c>
      <c r="W97" s="14">
        <f t="shared" si="24"/>
        <v>261000</v>
      </c>
      <c r="X97" s="14">
        <f t="shared" si="25"/>
        <v>141000</v>
      </c>
      <c r="Y97" s="11">
        <f t="shared" si="26"/>
        <v>7</v>
      </c>
    </row>
    <row r="98" spans="1:25" x14ac:dyDescent="0.35">
      <c r="A98" s="11" t="s">
        <v>289</v>
      </c>
      <c r="B98" s="17">
        <v>45866</v>
      </c>
      <c r="C98" s="11">
        <f t="shared" ref="C98:C129" si="27">MONTH(B98)</f>
        <v>7</v>
      </c>
      <c r="D98" s="11" t="str">
        <f t="shared" ref="D98:D129" si="28">"Q"&amp;ROUNDUP(C98/3,0)</f>
        <v>Q3</v>
      </c>
      <c r="E98" s="11" t="s">
        <v>193</v>
      </c>
      <c r="F98" s="11" t="s">
        <v>194</v>
      </c>
      <c r="G98" s="11" t="s">
        <v>12</v>
      </c>
      <c r="H98" s="11" t="s">
        <v>14</v>
      </c>
      <c r="I98" s="11" t="s">
        <v>70</v>
      </c>
      <c r="J98" s="11" t="s">
        <v>71</v>
      </c>
      <c r="K98" s="11" t="s">
        <v>81</v>
      </c>
      <c r="L98" s="11" t="s">
        <v>73</v>
      </c>
      <c r="M98" s="11" t="s">
        <v>82</v>
      </c>
      <c r="N98" s="11">
        <v>6</v>
      </c>
      <c r="O98" s="33">
        <v>340000</v>
      </c>
      <c r="P98" s="34">
        <v>0</v>
      </c>
      <c r="Q98" s="33">
        <v>220000</v>
      </c>
      <c r="R98" s="11" t="s">
        <v>30</v>
      </c>
      <c r="S98" s="14">
        <f t="shared" ref="S98:S129" si="29">N98*O98*(1-P98)</f>
        <v>2040000</v>
      </c>
      <c r="T98" s="14">
        <f t="shared" ref="T98:T129" si="30">N98*Q98</f>
        <v>1320000</v>
      </c>
      <c r="U98" s="14">
        <f t="shared" ref="U98:U129" si="31">S98-T98</f>
        <v>720000</v>
      </c>
      <c r="V98" s="35">
        <f t="shared" ref="V98:V129" si="32">IF(S98=0,0,U98/S98)</f>
        <v>0.35294117647058826</v>
      </c>
      <c r="W98" s="14">
        <f t="shared" ref="W98:W129" si="33">IF(R98="Hoàn thành",S98,"")</f>
        <v>2040000</v>
      </c>
      <c r="X98" s="14">
        <f t="shared" ref="X98:X129" si="34">IF(R98="Hoàn thành",U98,"")</f>
        <v>720000</v>
      </c>
      <c r="Y98" s="11">
        <f t="shared" ref="Y98:Y129" si="35">WEEKDAY(B98,2)</f>
        <v>1</v>
      </c>
    </row>
    <row r="99" spans="1:25" x14ac:dyDescent="0.35">
      <c r="A99" s="11" t="s">
        <v>290</v>
      </c>
      <c r="B99" s="17">
        <v>45867</v>
      </c>
      <c r="C99" s="11">
        <f t="shared" si="27"/>
        <v>7</v>
      </c>
      <c r="D99" s="11" t="str">
        <f t="shared" si="28"/>
        <v>Q3</v>
      </c>
      <c r="E99" s="11" t="s">
        <v>95</v>
      </c>
      <c r="F99" s="11" t="s">
        <v>10</v>
      </c>
      <c r="G99" s="11" t="s">
        <v>12</v>
      </c>
      <c r="H99" s="11" t="s">
        <v>41</v>
      </c>
      <c r="I99" s="11" t="s">
        <v>42</v>
      </c>
      <c r="J99" s="11" t="s">
        <v>54</v>
      </c>
      <c r="K99" s="11" t="s">
        <v>55</v>
      </c>
      <c r="L99" s="11" t="s">
        <v>22</v>
      </c>
      <c r="M99" s="11" t="s">
        <v>57</v>
      </c>
      <c r="N99" s="11">
        <v>2</v>
      </c>
      <c r="O99" s="33">
        <v>850000</v>
      </c>
      <c r="P99" s="34">
        <v>0.15</v>
      </c>
      <c r="Q99" s="33">
        <v>520000</v>
      </c>
      <c r="R99" s="11" t="s">
        <v>30</v>
      </c>
      <c r="S99" s="14">
        <f t="shared" si="29"/>
        <v>1445000</v>
      </c>
      <c r="T99" s="14">
        <f t="shared" si="30"/>
        <v>1040000</v>
      </c>
      <c r="U99" s="14">
        <f t="shared" si="31"/>
        <v>405000</v>
      </c>
      <c r="V99" s="35">
        <f t="shared" si="32"/>
        <v>0.28027681660899656</v>
      </c>
      <c r="W99" s="14">
        <f t="shared" si="33"/>
        <v>1445000</v>
      </c>
      <c r="X99" s="14">
        <f t="shared" si="34"/>
        <v>405000</v>
      </c>
      <c r="Y99" s="11">
        <f t="shared" si="35"/>
        <v>2</v>
      </c>
    </row>
    <row r="100" spans="1:25" x14ac:dyDescent="0.35">
      <c r="A100" s="11" t="s">
        <v>291</v>
      </c>
      <c r="B100" s="17">
        <v>45871</v>
      </c>
      <c r="C100" s="11">
        <f t="shared" si="27"/>
        <v>8</v>
      </c>
      <c r="D100" s="11" t="str">
        <f t="shared" si="28"/>
        <v>Q3</v>
      </c>
      <c r="E100" s="11" t="s">
        <v>292</v>
      </c>
      <c r="F100" s="11" t="s">
        <v>293</v>
      </c>
      <c r="G100" s="11" t="s">
        <v>40</v>
      </c>
      <c r="H100" s="11" t="s">
        <v>14</v>
      </c>
      <c r="I100" s="11" t="s">
        <v>70</v>
      </c>
      <c r="J100" s="11" t="s">
        <v>65</v>
      </c>
      <c r="K100" s="11" t="s">
        <v>201</v>
      </c>
      <c r="L100" s="11" t="s">
        <v>73</v>
      </c>
      <c r="M100" s="11" t="s">
        <v>24</v>
      </c>
      <c r="N100" s="11">
        <v>4</v>
      </c>
      <c r="O100" s="33">
        <v>931000</v>
      </c>
      <c r="P100" s="34">
        <v>0.05</v>
      </c>
      <c r="Q100" s="33">
        <v>600000</v>
      </c>
      <c r="R100" s="11" t="s">
        <v>30</v>
      </c>
      <c r="S100" s="14">
        <f t="shared" si="29"/>
        <v>3537800</v>
      </c>
      <c r="T100" s="14">
        <f t="shared" si="30"/>
        <v>2400000</v>
      </c>
      <c r="U100" s="14">
        <f t="shared" si="31"/>
        <v>1137800</v>
      </c>
      <c r="V100" s="35">
        <f t="shared" si="32"/>
        <v>0.32161230143026742</v>
      </c>
      <c r="W100" s="14">
        <f t="shared" si="33"/>
        <v>3537800</v>
      </c>
      <c r="X100" s="14">
        <f t="shared" si="34"/>
        <v>1137800</v>
      </c>
      <c r="Y100" s="11">
        <f t="shared" si="35"/>
        <v>6</v>
      </c>
    </row>
    <row r="101" spans="1:25" x14ac:dyDescent="0.35">
      <c r="A101" s="11" t="s">
        <v>294</v>
      </c>
      <c r="B101" s="17">
        <v>45873</v>
      </c>
      <c r="C101" s="11">
        <f t="shared" si="27"/>
        <v>8</v>
      </c>
      <c r="D101" s="11" t="str">
        <f t="shared" si="28"/>
        <v>Q3</v>
      </c>
      <c r="E101" s="11" t="s">
        <v>118</v>
      </c>
      <c r="F101" s="11" t="s">
        <v>119</v>
      </c>
      <c r="G101" s="11" t="s">
        <v>40</v>
      </c>
      <c r="H101" s="11" t="s">
        <v>14</v>
      </c>
      <c r="I101" s="11" t="s">
        <v>16</v>
      </c>
      <c r="J101" s="11" t="s">
        <v>54</v>
      </c>
      <c r="K101" s="11" t="s">
        <v>136</v>
      </c>
      <c r="L101" s="11" t="s">
        <v>22</v>
      </c>
      <c r="M101" s="11" t="s">
        <v>57</v>
      </c>
      <c r="N101" s="11">
        <v>1</v>
      </c>
      <c r="O101" s="33">
        <v>1140000</v>
      </c>
      <c r="P101" s="34">
        <v>0</v>
      </c>
      <c r="Q101" s="33">
        <v>720000</v>
      </c>
      <c r="R101" s="11" t="s">
        <v>30</v>
      </c>
      <c r="S101" s="14">
        <f t="shared" si="29"/>
        <v>1140000</v>
      </c>
      <c r="T101" s="14">
        <f t="shared" si="30"/>
        <v>720000</v>
      </c>
      <c r="U101" s="14">
        <f t="shared" si="31"/>
        <v>420000</v>
      </c>
      <c r="V101" s="35">
        <f t="shared" si="32"/>
        <v>0.36842105263157893</v>
      </c>
      <c r="W101" s="14">
        <f t="shared" si="33"/>
        <v>1140000</v>
      </c>
      <c r="X101" s="14">
        <f t="shared" si="34"/>
        <v>420000</v>
      </c>
      <c r="Y101" s="11">
        <f t="shared" si="35"/>
        <v>1</v>
      </c>
    </row>
    <row r="102" spans="1:25" x14ac:dyDescent="0.35">
      <c r="A102" s="11" t="s">
        <v>295</v>
      </c>
      <c r="B102" s="17">
        <v>45874</v>
      </c>
      <c r="C102" s="11">
        <f t="shared" si="27"/>
        <v>8</v>
      </c>
      <c r="D102" s="11" t="str">
        <f t="shared" si="28"/>
        <v>Q3</v>
      </c>
      <c r="E102" s="11" t="s">
        <v>196</v>
      </c>
      <c r="F102" s="11" t="s">
        <v>197</v>
      </c>
      <c r="G102" s="11" t="s">
        <v>40</v>
      </c>
      <c r="H102" s="11" t="s">
        <v>41</v>
      </c>
      <c r="I102" s="11" t="s">
        <v>42</v>
      </c>
      <c r="J102" s="11" t="s">
        <v>71</v>
      </c>
      <c r="K102" s="11" t="s">
        <v>81</v>
      </c>
      <c r="L102" s="11" t="s">
        <v>56</v>
      </c>
      <c r="M102" s="11" t="s">
        <v>57</v>
      </c>
      <c r="N102" s="11">
        <v>1</v>
      </c>
      <c r="O102" s="33">
        <v>357000</v>
      </c>
      <c r="P102" s="34">
        <v>0</v>
      </c>
      <c r="Q102" s="33">
        <v>220000</v>
      </c>
      <c r="R102" s="11" t="s">
        <v>30</v>
      </c>
      <c r="S102" s="14">
        <f t="shared" si="29"/>
        <v>357000</v>
      </c>
      <c r="T102" s="14">
        <f t="shared" si="30"/>
        <v>220000</v>
      </c>
      <c r="U102" s="14">
        <f t="shared" si="31"/>
        <v>137000</v>
      </c>
      <c r="V102" s="35">
        <f t="shared" si="32"/>
        <v>0.38375350140056025</v>
      </c>
      <c r="W102" s="14">
        <f t="shared" si="33"/>
        <v>357000</v>
      </c>
      <c r="X102" s="14">
        <f t="shared" si="34"/>
        <v>137000</v>
      </c>
      <c r="Y102" s="11">
        <f t="shared" si="35"/>
        <v>2</v>
      </c>
    </row>
    <row r="103" spans="1:25" x14ac:dyDescent="0.35">
      <c r="A103" s="11" t="s">
        <v>296</v>
      </c>
      <c r="B103" s="17">
        <v>45875</v>
      </c>
      <c r="C103" s="11">
        <f t="shared" si="27"/>
        <v>8</v>
      </c>
      <c r="D103" s="11" t="str">
        <f t="shared" si="28"/>
        <v>Q3</v>
      </c>
      <c r="E103" s="11" t="s">
        <v>149</v>
      </c>
      <c r="F103" s="11" t="s">
        <v>150</v>
      </c>
      <c r="G103" s="11" t="s">
        <v>40</v>
      </c>
      <c r="H103" s="11" t="s">
        <v>41</v>
      </c>
      <c r="I103" s="11" t="s">
        <v>80</v>
      </c>
      <c r="J103" s="11" t="s">
        <v>54</v>
      </c>
      <c r="K103" s="11" t="s">
        <v>55</v>
      </c>
      <c r="L103" s="11" t="s">
        <v>56</v>
      </c>
      <c r="M103" s="11" t="s">
        <v>57</v>
      </c>
      <c r="N103" s="11">
        <v>3</v>
      </c>
      <c r="O103" s="33">
        <v>850000</v>
      </c>
      <c r="P103" s="34">
        <v>0.1</v>
      </c>
      <c r="Q103" s="33">
        <v>520000</v>
      </c>
      <c r="R103" s="11" t="s">
        <v>30</v>
      </c>
      <c r="S103" s="14">
        <f t="shared" si="29"/>
        <v>2295000</v>
      </c>
      <c r="T103" s="14">
        <f t="shared" si="30"/>
        <v>1560000</v>
      </c>
      <c r="U103" s="14">
        <f t="shared" si="31"/>
        <v>735000</v>
      </c>
      <c r="V103" s="35">
        <f t="shared" si="32"/>
        <v>0.3202614379084967</v>
      </c>
      <c r="W103" s="14">
        <f t="shared" si="33"/>
        <v>2295000</v>
      </c>
      <c r="X103" s="14">
        <f t="shared" si="34"/>
        <v>735000</v>
      </c>
      <c r="Y103" s="11">
        <f t="shared" si="35"/>
        <v>3</v>
      </c>
    </row>
    <row r="104" spans="1:25" x14ac:dyDescent="0.35">
      <c r="A104" s="11" t="s">
        <v>297</v>
      </c>
      <c r="B104" s="17">
        <v>45875</v>
      </c>
      <c r="C104" s="11">
        <f t="shared" si="27"/>
        <v>8</v>
      </c>
      <c r="D104" s="11" t="str">
        <f t="shared" si="28"/>
        <v>Q3</v>
      </c>
      <c r="E104" s="11" t="s">
        <v>175</v>
      </c>
      <c r="F104" s="11" t="s">
        <v>176</v>
      </c>
      <c r="G104" s="11" t="s">
        <v>12</v>
      </c>
      <c r="H104" s="11" t="s">
        <v>41</v>
      </c>
      <c r="I104" s="11" t="s">
        <v>80</v>
      </c>
      <c r="J104" s="11" t="s">
        <v>43</v>
      </c>
      <c r="K104" s="11" t="s">
        <v>127</v>
      </c>
      <c r="L104" s="11" t="s">
        <v>73</v>
      </c>
      <c r="M104" s="11" t="s">
        <v>24</v>
      </c>
      <c r="N104" s="11">
        <v>3</v>
      </c>
      <c r="O104" s="33">
        <v>320000</v>
      </c>
      <c r="P104" s="34">
        <v>0.1</v>
      </c>
      <c r="Q104" s="33">
        <v>150000</v>
      </c>
      <c r="R104" s="11" t="s">
        <v>98</v>
      </c>
      <c r="S104" s="14">
        <f t="shared" si="29"/>
        <v>864000</v>
      </c>
      <c r="T104" s="14">
        <f t="shared" si="30"/>
        <v>450000</v>
      </c>
      <c r="U104" s="14">
        <f t="shared" si="31"/>
        <v>414000</v>
      </c>
      <c r="V104" s="35">
        <f t="shared" si="32"/>
        <v>0.47916666666666669</v>
      </c>
      <c r="W104" s="14" t="str">
        <f t="shared" si="33"/>
        <v/>
      </c>
      <c r="X104" s="14" t="str">
        <f t="shared" si="34"/>
        <v/>
      </c>
      <c r="Y104" s="11">
        <f t="shared" si="35"/>
        <v>3</v>
      </c>
    </row>
    <row r="105" spans="1:25" x14ac:dyDescent="0.35">
      <c r="A105" s="11" t="s">
        <v>298</v>
      </c>
      <c r="B105" s="17">
        <v>45876</v>
      </c>
      <c r="C105" s="11">
        <f t="shared" si="27"/>
        <v>8</v>
      </c>
      <c r="D105" s="11" t="str">
        <f t="shared" si="28"/>
        <v>Q3</v>
      </c>
      <c r="E105" s="11" t="s">
        <v>103</v>
      </c>
      <c r="F105" s="11" t="s">
        <v>104</v>
      </c>
      <c r="G105" s="11" t="s">
        <v>40</v>
      </c>
      <c r="H105" s="11" t="s">
        <v>14</v>
      </c>
      <c r="I105" s="11" t="s">
        <v>105</v>
      </c>
      <c r="J105" s="11" t="s">
        <v>18</v>
      </c>
      <c r="K105" s="11" t="s">
        <v>93</v>
      </c>
      <c r="L105" s="11" t="s">
        <v>56</v>
      </c>
      <c r="M105" s="11" t="s">
        <v>57</v>
      </c>
      <c r="N105" s="11">
        <v>2</v>
      </c>
      <c r="O105" s="33">
        <v>1500000</v>
      </c>
      <c r="P105" s="34">
        <v>0</v>
      </c>
      <c r="Q105" s="33">
        <v>800000</v>
      </c>
      <c r="R105" s="11" t="s">
        <v>30</v>
      </c>
      <c r="S105" s="14">
        <f t="shared" si="29"/>
        <v>3000000</v>
      </c>
      <c r="T105" s="14">
        <f t="shared" si="30"/>
        <v>1600000</v>
      </c>
      <c r="U105" s="14">
        <f t="shared" si="31"/>
        <v>1400000</v>
      </c>
      <c r="V105" s="35">
        <f t="shared" si="32"/>
        <v>0.46666666666666667</v>
      </c>
      <c r="W105" s="14">
        <f t="shared" si="33"/>
        <v>3000000</v>
      </c>
      <c r="X105" s="14">
        <f t="shared" si="34"/>
        <v>1400000</v>
      </c>
      <c r="Y105" s="11">
        <f t="shared" si="35"/>
        <v>4</v>
      </c>
    </row>
    <row r="106" spans="1:25" x14ac:dyDescent="0.35">
      <c r="A106" s="11" t="s">
        <v>299</v>
      </c>
      <c r="B106" s="17">
        <v>45885</v>
      </c>
      <c r="C106" s="11">
        <f t="shared" si="27"/>
        <v>8</v>
      </c>
      <c r="D106" s="11" t="str">
        <f t="shared" si="28"/>
        <v>Q3</v>
      </c>
      <c r="E106" s="11" t="s">
        <v>188</v>
      </c>
      <c r="F106" s="11" t="s">
        <v>189</v>
      </c>
      <c r="G106" s="11" t="s">
        <v>40</v>
      </c>
      <c r="H106" s="11" t="s">
        <v>14</v>
      </c>
      <c r="I106" s="11" t="s">
        <v>16</v>
      </c>
      <c r="J106" s="11" t="s">
        <v>54</v>
      </c>
      <c r="K106" s="11" t="s">
        <v>131</v>
      </c>
      <c r="L106" s="11" t="s">
        <v>56</v>
      </c>
      <c r="M106" s="11" t="s">
        <v>57</v>
      </c>
      <c r="N106" s="11">
        <v>1</v>
      </c>
      <c r="O106" s="33">
        <v>690000</v>
      </c>
      <c r="P106" s="34">
        <v>0</v>
      </c>
      <c r="Q106" s="33">
        <v>410000</v>
      </c>
      <c r="R106" s="11" t="s">
        <v>30</v>
      </c>
      <c r="S106" s="14">
        <f t="shared" si="29"/>
        <v>690000</v>
      </c>
      <c r="T106" s="14">
        <f t="shared" si="30"/>
        <v>410000</v>
      </c>
      <c r="U106" s="14">
        <f t="shared" si="31"/>
        <v>280000</v>
      </c>
      <c r="V106" s="35">
        <f t="shared" si="32"/>
        <v>0.40579710144927539</v>
      </c>
      <c r="W106" s="14">
        <f t="shared" si="33"/>
        <v>690000</v>
      </c>
      <c r="X106" s="14">
        <f t="shared" si="34"/>
        <v>280000</v>
      </c>
      <c r="Y106" s="11">
        <f t="shared" si="35"/>
        <v>6</v>
      </c>
    </row>
    <row r="107" spans="1:25" x14ac:dyDescent="0.35">
      <c r="A107" s="11" t="s">
        <v>300</v>
      </c>
      <c r="B107" s="17">
        <v>45888</v>
      </c>
      <c r="C107" s="11">
        <f t="shared" si="27"/>
        <v>8</v>
      </c>
      <c r="D107" s="11" t="str">
        <f t="shared" si="28"/>
        <v>Q3</v>
      </c>
      <c r="E107" s="11" t="s">
        <v>113</v>
      </c>
      <c r="F107" s="11" t="s">
        <v>114</v>
      </c>
      <c r="G107" s="11" t="s">
        <v>40</v>
      </c>
      <c r="H107" s="11" t="s">
        <v>14</v>
      </c>
      <c r="I107" s="11" t="s">
        <v>70</v>
      </c>
      <c r="J107" s="11" t="s">
        <v>71</v>
      </c>
      <c r="K107" s="11" t="s">
        <v>87</v>
      </c>
      <c r="L107" s="11" t="s">
        <v>73</v>
      </c>
      <c r="M107" s="11" t="s">
        <v>88</v>
      </c>
      <c r="N107" s="11">
        <v>2</v>
      </c>
      <c r="O107" s="33">
        <v>380000</v>
      </c>
      <c r="P107" s="34">
        <v>0.05</v>
      </c>
      <c r="Q107" s="33">
        <v>250000</v>
      </c>
      <c r="R107" s="11" t="s">
        <v>30</v>
      </c>
      <c r="S107" s="14">
        <f t="shared" si="29"/>
        <v>722000</v>
      </c>
      <c r="T107" s="14">
        <f t="shared" si="30"/>
        <v>500000</v>
      </c>
      <c r="U107" s="14">
        <f t="shared" si="31"/>
        <v>222000</v>
      </c>
      <c r="V107" s="35">
        <f t="shared" si="32"/>
        <v>0.30747922437673131</v>
      </c>
      <c r="W107" s="14">
        <f t="shared" si="33"/>
        <v>722000</v>
      </c>
      <c r="X107" s="14">
        <f t="shared" si="34"/>
        <v>222000</v>
      </c>
      <c r="Y107" s="11">
        <f t="shared" si="35"/>
        <v>2</v>
      </c>
    </row>
    <row r="108" spans="1:25" x14ac:dyDescent="0.35">
      <c r="A108" s="11" t="s">
        <v>301</v>
      </c>
      <c r="B108" s="17">
        <v>45888</v>
      </c>
      <c r="C108" s="11">
        <f t="shared" si="27"/>
        <v>8</v>
      </c>
      <c r="D108" s="11" t="str">
        <f t="shared" si="28"/>
        <v>Q3</v>
      </c>
      <c r="E108" s="11" t="s">
        <v>164</v>
      </c>
      <c r="F108" s="11" t="s">
        <v>165</v>
      </c>
      <c r="G108" s="11" t="s">
        <v>12</v>
      </c>
      <c r="H108" s="11" t="s">
        <v>14</v>
      </c>
      <c r="I108" s="11" t="s">
        <v>16</v>
      </c>
      <c r="J108" s="11" t="s">
        <v>18</v>
      </c>
      <c r="K108" s="11" t="s">
        <v>96</v>
      </c>
      <c r="L108" s="11" t="s">
        <v>73</v>
      </c>
      <c r="M108" s="11" t="s">
        <v>106</v>
      </c>
      <c r="N108" s="11">
        <v>2</v>
      </c>
      <c r="O108" s="33">
        <v>750000</v>
      </c>
      <c r="P108" s="34">
        <v>0.1</v>
      </c>
      <c r="Q108" s="33">
        <v>390000</v>
      </c>
      <c r="R108" s="11" t="s">
        <v>30</v>
      </c>
      <c r="S108" s="14">
        <f t="shared" si="29"/>
        <v>1350000</v>
      </c>
      <c r="T108" s="14">
        <f t="shared" si="30"/>
        <v>780000</v>
      </c>
      <c r="U108" s="14">
        <f t="shared" si="31"/>
        <v>570000</v>
      </c>
      <c r="V108" s="35">
        <f t="shared" si="32"/>
        <v>0.42222222222222222</v>
      </c>
      <c r="W108" s="14">
        <f t="shared" si="33"/>
        <v>1350000</v>
      </c>
      <c r="X108" s="14">
        <f t="shared" si="34"/>
        <v>570000</v>
      </c>
      <c r="Y108" s="11">
        <f t="shared" si="35"/>
        <v>2</v>
      </c>
    </row>
    <row r="109" spans="1:25" x14ac:dyDescent="0.35">
      <c r="A109" s="11" t="s">
        <v>302</v>
      </c>
      <c r="B109" s="17">
        <v>45889</v>
      </c>
      <c r="C109" s="11">
        <f t="shared" si="27"/>
        <v>8</v>
      </c>
      <c r="D109" s="11" t="str">
        <f t="shared" si="28"/>
        <v>Q3</v>
      </c>
      <c r="E109" s="11" t="s">
        <v>226</v>
      </c>
      <c r="F109" s="11" t="s">
        <v>227</v>
      </c>
      <c r="G109" s="11" t="s">
        <v>40</v>
      </c>
      <c r="H109" s="11" t="s">
        <v>41</v>
      </c>
      <c r="I109" s="11" t="s">
        <v>42</v>
      </c>
      <c r="J109" s="11" t="s">
        <v>43</v>
      </c>
      <c r="K109" s="11" t="s">
        <v>48</v>
      </c>
      <c r="L109" s="11" t="s">
        <v>73</v>
      </c>
      <c r="M109" s="11" t="s">
        <v>82</v>
      </c>
      <c r="N109" s="11">
        <v>1</v>
      </c>
      <c r="O109" s="33">
        <v>290000</v>
      </c>
      <c r="P109" s="34">
        <v>0.05</v>
      </c>
      <c r="Q109" s="33">
        <v>120000</v>
      </c>
      <c r="R109" s="11" t="s">
        <v>30</v>
      </c>
      <c r="S109" s="14">
        <f t="shared" si="29"/>
        <v>275500</v>
      </c>
      <c r="T109" s="14">
        <f t="shared" si="30"/>
        <v>120000</v>
      </c>
      <c r="U109" s="14">
        <f t="shared" si="31"/>
        <v>155500</v>
      </c>
      <c r="V109" s="35">
        <f t="shared" si="32"/>
        <v>0.56442831215970957</v>
      </c>
      <c r="W109" s="14">
        <f t="shared" si="33"/>
        <v>275500</v>
      </c>
      <c r="X109" s="14">
        <f t="shared" si="34"/>
        <v>155500</v>
      </c>
      <c r="Y109" s="11">
        <f t="shared" si="35"/>
        <v>3</v>
      </c>
    </row>
    <row r="110" spans="1:25" x14ac:dyDescent="0.35">
      <c r="A110" s="11" t="s">
        <v>303</v>
      </c>
      <c r="B110" s="17">
        <v>45890</v>
      </c>
      <c r="C110" s="11">
        <f t="shared" si="27"/>
        <v>8</v>
      </c>
      <c r="D110" s="11" t="str">
        <f t="shared" si="28"/>
        <v>Q3</v>
      </c>
      <c r="E110" s="11" t="s">
        <v>232</v>
      </c>
      <c r="F110" s="11" t="s">
        <v>233</v>
      </c>
      <c r="G110" s="11" t="s">
        <v>40</v>
      </c>
      <c r="H110" s="11" t="s">
        <v>41</v>
      </c>
      <c r="I110" s="11" t="s">
        <v>42</v>
      </c>
      <c r="J110" s="11" t="s">
        <v>43</v>
      </c>
      <c r="K110" s="11" t="s">
        <v>127</v>
      </c>
      <c r="L110" s="11" t="s">
        <v>73</v>
      </c>
      <c r="M110" s="11" t="s">
        <v>57</v>
      </c>
      <c r="N110" s="11">
        <v>2</v>
      </c>
      <c r="O110" s="33">
        <v>320000</v>
      </c>
      <c r="P110" s="34">
        <v>0.15</v>
      </c>
      <c r="Q110" s="33">
        <v>150000</v>
      </c>
      <c r="R110" s="11" t="s">
        <v>30</v>
      </c>
      <c r="S110" s="14">
        <f t="shared" si="29"/>
        <v>544000</v>
      </c>
      <c r="T110" s="14">
        <f t="shared" si="30"/>
        <v>300000</v>
      </c>
      <c r="U110" s="14">
        <f t="shared" si="31"/>
        <v>244000</v>
      </c>
      <c r="V110" s="35">
        <f t="shared" si="32"/>
        <v>0.4485294117647059</v>
      </c>
      <c r="W110" s="14">
        <f t="shared" si="33"/>
        <v>544000</v>
      </c>
      <c r="X110" s="14">
        <f t="shared" si="34"/>
        <v>244000</v>
      </c>
      <c r="Y110" s="11">
        <f t="shared" si="35"/>
        <v>4</v>
      </c>
    </row>
    <row r="111" spans="1:25" x14ac:dyDescent="0.35">
      <c r="A111" s="11" t="s">
        <v>304</v>
      </c>
      <c r="B111" s="17">
        <v>45890</v>
      </c>
      <c r="C111" s="11">
        <f t="shared" si="27"/>
        <v>8</v>
      </c>
      <c r="D111" s="11" t="str">
        <f t="shared" si="28"/>
        <v>Q3</v>
      </c>
      <c r="E111" s="11" t="s">
        <v>305</v>
      </c>
      <c r="F111" s="11" t="s">
        <v>306</v>
      </c>
      <c r="G111" s="11" t="s">
        <v>12</v>
      </c>
      <c r="H111" s="11" t="s">
        <v>41</v>
      </c>
      <c r="I111" s="11" t="s">
        <v>80</v>
      </c>
      <c r="J111" s="11" t="s">
        <v>54</v>
      </c>
      <c r="K111" s="11" t="s">
        <v>136</v>
      </c>
      <c r="L111" s="11" t="s">
        <v>97</v>
      </c>
      <c r="M111" s="11" t="s">
        <v>106</v>
      </c>
      <c r="N111" s="11">
        <v>2</v>
      </c>
      <c r="O111" s="33">
        <v>1140000</v>
      </c>
      <c r="P111" s="34">
        <v>0.05</v>
      </c>
      <c r="Q111" s="33">
        <v>720000</v>
      </c>
      <c r="R111" s="11" t="s">
        <v>30</v>
      </c>
      <c r="S111" s="14">
        <f t="shared" si="29"/>
        <v>2166000</v>
      </c>
      <c r="T111" s="14">
        <f t="shared" si="30"/>
        <v>1440000</v>
      </c>
      <c r="U111" s="14">
        <f t="shared" si="31"/>
        <v>726000</v>
      </c>
      <c r="V111" s="35">
        <f t="shared" si="32"/>
        <v>0.33518005540166207</v>
      </c>
      <c r="W111" s="14">
        <f t="shared" si="33"/>
        <v>2166000</v>
      </c>
      <c r="X111" s="14">
        <f t="shared" si="34"/>
        <v>726000</v>
      </c>
      <c r="Y111" s="11">
        <f t="shared" si="35"/>
        <v>4</v>
      </c>
    </row>
    <row r="112" spans="1:25" x14ac:dyDescent="0.35">
      <c r="A112" s="11" t="s">
        <v>307</v>
      </c>
      <c r="B112" s="17">
        <v>45893</v>
      </c>
      <c r="C112" s="11">
        <f t="shared" si="27"/>
        <v>8</v>
      </c>
      <c r="D112" s="11" t="str">
        <f t="shared" si="28"/>
        <v>Q3</v>
      </c>
      <c r="E112" s="11" t="s">
        <v>292</v>
      </c>
      <c r="F112" s="11" t="s">
        <v>293</v>
      </c>
      <c r="G112" s="11" t="s">
        <v>40</v>
      </c>
      <c r="H112" s="11" t="s">
        <v>14</v>
      </c>
      <c r="I112" s="11" t="s">
        <v>70</v>
      </c>
      <c r="J112" s="11" t="s">
        <v>65</v>
      </c>
      <c r="K112" s="11" t="s">
        <v>201</v>
      </c>
      <c r="L112" s="11" t="s">
        <v>56</v>
      </c>
      <c r="M112" s="11" t="s">
        <v>106</v>
      </c>
      <c r="N112" s="11">
        <v>1</v>
      </c>
      <c r="O112" s="33">
        <v>931000</v>
      </c>
      <c r="P112" s="34">
        <v>0</v>
      </c>
      <c r="Q112" s="33">
        <v>600000</v>
      </c>
      <c r="R112" s="11" t="s">
        <v>30</v>
      </c>
      <c r="S112" s="14">
        <f t="shared" si="29"/>
        <v>931000</v>
      </c>
      <c r="T112" s="14">
        <f t="shared" si="30"/>
        <v>600000</v>
      </c>
      <c r="U112" s="14">
        <f t="shared" si="31"/>
        <v>331000</v>
      </c>
      <c r="V112" s="35">
        <f t="shared" si="32"/>
        <v>0.35553168635875404</v>
      </c>
      <c r="W112" s="14">
        <f t="shared" si="33"/>
        <v>931000</v>
      </c>
      <c r="X112" s="14">
        <f t="shared" si="34"/>
        <v>331000</v>
      </c>
      <c r="Y112" s="11">
        <f t="shared" si="35"/>
        <v>7</v>
      </c>
    </row>
    <row r="113" spans="1:25" x14ac:dyDescent="0.35">
      <c r="A113" s="11" t="s">
        <v>308</v>
      </c>
      <c r="B113" s="17">
        <v>45897</v>
      </c>
      <c r="C113" s="11">
        <f t="shared" si="27"/>
        <v>8</v>
      </c>
      <c r="D113" s="11" t="str">
        <f t="shared" si="28"/>
        <v>Q3</v>
      </c>
      <c r="E113" s="11" t="s">
        <v>309</v>
      </c>
      <c r="F113" s="11" t="s">
        <v>310</v>
      </c>
      <c r="G113" s="11" t="s">
        <v>40</v>
      </c>
      <c r="H113" s="11" t="s">
        <v>41</v>
      </c>
      <c r="I113" s="11" t="s">
        <v>173</v>
      </c>
      <c r="J113" s="11" t="s">
        <v>71</v>
      </c>
      <c r="K113" s="11" t="s">
        <v>87</v>
      </c>
      <c r="L113" s="11" t="s">
        <v>56</v>
      </c>
      <c r="M113" s="11" t="s">
        <v>24</v>
      </c>
      <c r="N113" s="11">
        <v>1</v>
      </c>
      <c r="O113" s="33">
        <v>380000</v>
      </c>
      <c r="P113" s="34">
        <v>0.05</v>
      </c>
      <c r="Q113" s="33">
        <v>250000</v>
      </c>
      <c r="R113" s="11" t="s">
        <v>30</v>
      </c>
      <c r="S113" s="14">
        <f t="shared" si="29"/>
        <v>361000</v>
      </c>
      <c r="T113" s="14">
        <f t="shared" si="30"/>
        <v>250000</v>
      </c>
      <c r="U113" s="14">
        <f t="shared" si="31"/>
        <v>111000</v>
      </c>
      <c r="V113" s="35">
        <f t="shared" si="32"/>
        <v>0.30747922437673131</v>
      </c>
      <c r="W113" s="14">
        <f t="shared" si="33"/>
        <v>361000</v>
      </c>
      <c r="X113" s="14">
        <f t="shared" si="34"/>
        <v>111000</v>
      </c>
      <c r="Y113" s="11">
        <f t="shared" si="35"/>
        <v>4</v>
      </c>
    </row>
    <row r="114" spans="1:25" x14ac:dyDescent="0.35">
      <c r="A114" s="11" t="s">
        <v>311</v>
      </c>
      <c r="B114" s="17">
        <v>45898</v>
      </c>
      <c r="C114" s="11">
        <f t="shared" si="27"/>
        <v>8</v>
      </c>
      <c r="D114" s="11" t="str">
        <f t="shared" si="28"/>
        <v>Q3</v>
      </c>
      <c r="E114" s="11" t="s">
        <v>312</v>
      </c>
      <c r="F114" s="11" t="s">
        <v>313</v>
      </c>
      <c r="G114" s="11" t="s">
        <v>12</v>
      </c>
      <c r="H114" s="11" t="s">
        <v>14</v>
      </c>
      <c r="I114" s="11" t="s">
        <v>135</v>
      </c>
      <c r="J114" s="11" t="s">
        <v>54</v>
      </c>
      <c r="K114" s="11" t="s">
        <v>55</v>
      </c>
      <c r="L114" s="11" t="s">
        <v>22</v>
      </c>
      <c r="M114" s="11" t="s">
        <v>24</v>
      </c>
      <c r="N114" s="11">
        <v>2</v>
      </c>
      <c r="O114" s="33">
        <v>892000</v>
      </c>
      <c r="P114" s="34">
        <v>0</v>
      </c>
      <c r="Q114" s="33">
        <v>520000</v>
      </c>
      <c r="R114" s="11" t="s">
        <v>30</v>
      </c>
      <c r="S114" s="14">
        <f t="shared" si="29"/>
        <v>1784000</v>
      </c>
      <c r="T114" s="14">
        <f t="shared" si="30"/>
        <v>1040000</v>
      </c>
      <c r="U114" s="14">
        <f t="shared" si="31"/>
        <v>744000</v>
      </c>
      <c r="V114" s="35">
        <f t="shared" si="32"/>
        <v>0.4170403587443946</v>
      </c>
      <c r="W114" s="14">
        <f t="shared" si="33"/>
        <v>1784000</v>
      </c>
      <c r="X114" s="14">
        <f t="shared" si="34"/>
        <v>744000</v>
      </c>
      <c r="Y114" s="11">
        <f t="shared" si="35"/>
        <v>5</v>
      </c>
    </row>
    <row r="115" spans="1:25" x14ac:dyDescent="0.35">
      <c r="A115" s="11" t="s">
        <v>314</v>
      </c>
      <c r="B115" s="17">
        <v>45899</v>
      </c>
      <c r="C115" s="11">
        <f t="shared" si="27"/>
        <v>8</v>
      </c>
      <c r="D115" s="11" t="str">
        <f t="shared" si="28"/>
        <v>Q3</v>
      </c>
      <c r="E115" s="11" t="s">
        <v>196</v>
      </c>
      <c r="F115" s="11" t="s">
        <v>197</v>
      </c>
      <c r="G115" s="11" t="s">
        <v>40</v>
      </c>
      <c r="H115" s="11" t="s">
        <v>41</v>
      </c>
      <c r="I115" s="11" t="s">
        <v>42</v>
      </c>
      <c r="J115" s="11" t="s">
        <v>54</v>
      </c>
      <c r="K115" s="11" t="s">
        <v>131</v>
      </c>
      <c r="L115" s="11" t="s">
        <v>22</v>
      </c>
      <c r="M115" s="11" t="s">
        <v>24</v>
      </c>
      <c r="N115" s="11">
        <v>1</v>
      </c>
      <c r="O115" s="33">
        <v>724000</v>
      </c>
      <c r="P115" s="34">
        <v>0.2</v>
      </c>
      <c r="Q115" s="33">
        <v>410000</v>
      </c>
      <c r="R115" s="11" t="s">
        <v>30</v>
      </c>
      <c r="S115" s="14">
        <f t="shared" si="29"/>
        <v>579200</v>
      </c>
      <c r="T115" s="14">
        <f t="shared" si="30"/>
        <v>410000</v>
      </c>
      <c r="U115" s="14">
        <f t="shared" si="31"/>
        <v>169200</v>
      </c>
      <c r="V115" s="35">
        <f t="shared" si="32"/>
        <v>0.29212707182320441</v>
      </c>
      <c r="W115" s="14">
        <f t="shared" si="33"/>
        <v>579200</v>
      </c>
      <c r="X115" s="14">
        <f t="shared" si="34"/>
        <v>169200</v>
      </c>
      <c r="Y115" s="11">
        <f t="shared" si="35"/>
        <v>6</v>
      </c>
    </row>
    <row r="116" spans="1:25" x14ac:dyDescent="0.35">
      <c r="A116" s="11" t="s">
        <v>315</v>
      </c>
      <c r="B116" s="17">
        <v>45900</v>
      </c>
      <c r="C116" s="11">
        <f t="shared" si="27"/>
        <v>8</v>
      </c>
      <c r="D116" s="11" t="str">
        <f t="shared" si="28"/>
        <v>Q3</v>
      </c>
      <c r="E116" s="11" t="s">
        <v>203</v>
      </c>
      <c r="F116" s="11" t="s">
        <v>204</v>
      </c>
      <c r="G116" s="11" t="s">
        <v>40</v>
      </c>
      <c r="H116" s="11" t="s">
        <v>41</v>
      </c>
      <c r="I116" s="11" t="s">
        <v>80</v>
      </c>
      <c r="J116" s="11" t="s">
        <v>71</v>
      </c>
      <c r="K116" s="11" t="s">
        <v>72</v>
      </c>
      <c r="L116" s="11" t="s">
        <v>56</v>
      </c>
      <c r="M116" s="11" t="s">
        <v>49</v>
      </c>
      <c r="N116" s="11">
        <v>1</v>
      </c>
      <c r="O116" s="33">
        <v>210000</v>
      </c>
      <c r="P116" s="34">
        <v>0.15</v>
      </c>
      <c r="Q116" s="33">
        <v>120000</v>
      </c>
      <c r="R116" s="11" t="s">
        <v>30</v>
      </c>
      <c r="S116" s="14">
        <f t="shared" si="29"/>
        <v>178500</v>
      </c>
      <c r="T116" s="14">
        <f t="shared" si="30"/>
        <v>120000</v>
      </c>
      <c r="U116" s="14">
        <f t="shared" si="31"/>
        <v>58500</v>
      </c>
      <c r="V116" s="35">
        <f t="shared" si="32"/>
        <v>0.32773109243697479</v>
      </c>
      <c r="W116" s="14">
        <f t="shared" si="33"/>
        <v>178500</v>
      </c>
      <c r="X116" s="14">
        <f t="shared" si="34"/>
        <v>58500</v>
      </c>
      <c r="Y116" s="11">
        <f t="shared" si="35"/>
        <v>7</v>
      </c>
    </row>
    <row r="117" spans="1:25" x14ac:dyDescent="0.35">
      <c r="A117" s="11" t="s">
        <v>316</v>
      </c>
      <c r="B117" s="17">
        <v>45904</v>
      </c>
      <c r="C117" s="11">
        <f t="shared" si="27"/>
        <v>9</v>
      </c>
      <c r="D117" s="11" t="str">
        <f t="shared" si="28"/>
        <v>Q3</v>
      </c>
      <c r="E117" s="11" t="s">
        <v>317</v>
      </c>
      <c r="F117" s="11" t="s">
        <v>318</v>
      </c>
      <c r="G117" s="11" t="s">
        <v>40</v>
      </c>
      <c r="H117" s="11" t="s">
        <v>41</v>
      </c>
      <c r="I117" s="11" t="s">
        <v>80</v>
      </c>
      <c r="J117" s="11" t="s">
        <v>43</v>
      </c>
      <c r="K117" s="11" t="s">
        <v>127</v>
      </c>
      <c r="L117" s="11" t="s">
        <v>56</v>
      </c>
      <c r="M117" s="11" t="s">
        <v>76</v>
      </c>
      <c r="N117" s="11">
        <v>1</v>
      </c>
      <c r="O117" s="33">
        <v>320000</v>
      </c>
      <c r="P117" s="34">
        <v>0.1</v>
      </c>
      <c r="Q117" s="33">
        <v>150000</v>
      </c>
      <c r="R117" s="11" t="s">
        <v>98</v>
      </c>
      <c r="S117" s="14">
        <f t="shared" si="29"/>
        <v>288000</v>
      </c>
      <c r="T117" s="14">
        <f t="shared" si="30"/>
        <v>150000</v>
      </c>
      <c r="U117" s="14">
        <f t="shared" si="31"/>
        <v>138000</v>
      </c>
      <c r="V117" s="35">
        <f t="shared" si="32"/>
        <v>0.47916666666666669</v>
      </c>
      <c r="W117" s="14" t="str">
        <f t="shared" si="33"/>
        <v/>
      </c>
      <c r="X117" s="14" t="str">
        <f t="shared" si="34"/>
        <v/>
      </c>
      <c r="Y117" s="11">
        <f t="shared" si="35"/>
        <v>4</v>
      </c>
    </row>
    <row r="118" spans="1:25" x14ac:dyDescent="0.35">
      <c r="A118" s="11" t="s">
        <v>320</v>
      </c>
      <c r="B118" s="17">
        <v>45904</v>
      </c>
      <c r="C118" s="11">
        <f t="shared" si="27"/>
        <v>9</v>
      </c>
      <c r="D118" s="11" t="str">
        <f t="shared" si="28"/>
        <v>Q3</v>
      </c>
      <c r="E118" s="11" t="s">
        <v>84</v>
      </c>
      <c r="F118" s="11" t="s">
        <v>85</v>
      </c>
      <c r="G118" s="11" t="s">
        <v>40</v>
      </c>
      <c r="H118" s="11" t="s">
        <v>41</v>
      </c>
      <c r="I118" s="11" t="s">
        <v>86</v>
      </c>
      <c r="J118" s="11" t="s">
        <v>43</v>
      </c>
      <c r="K118" s="11" t="s">
        <v>127</v>
      </c>
      <c r="L118" s="11" t="s">
        <v>56</v>
      </c>
      <c r="M118" s="11" t="s">
        <v>24</v>
      </c>
      <c r="N118" s="11">
        <v>2</v>
      </c>
      <c r="O118" s="33">
        <v>320000</v>
      </c>
      <c r="P118" s="34">
        <v>0.15</v>
      </c>
      <c r="Q118" s="33">
        <v>150000</v>
      </c>
      <c r="R118" s="11" t="s">
        <v>30</v>
      </c>
      <c r="S118" s="14">
        <f t="shared" si="29"/>
        <v>544000</v>
      </c>
      <c r="T118" s="14">
        <f t="shared" si="30"/>
        <v>300000</v>
      </c>
      <c r="U118" s="14">
        <f t="shared" si="31"/>
        <v>244000</v>
      </c>
      <c r="V118" s="35">
        <f t="shared" si="32"/>
        <v>0.4485294117647059</v>
      </c>
      <c r="W118" s="14">
        <f t="shared" si="33"/>
        <v>544000</v>
      </c>
      <c r="X118" s="14">
        <f t="shared" si="34"/>
        <v>244000</v>
      </c>
      <c r="Y118" s="11">
        <f t="shared" si="35"/>
        <v>4</v>
      </c>
    </row>
    <row r="119" spans="1:25" x14ac:dyDescent="0.35">
      <c r="A119" s="11" t="s">
        <v>322</v>
      </c>
      <c r="B119" s="17">
        <v>45908</v>
      </c>
      <c r="C119" s="11">
        <f t="shared" si="27"/>
        <v>9</v>
      </c>
      <c r="D119" s="11" t="str">
        <f t="shared" si="28"/>
        <v>Q3</v>
      </c>
      <c r="E119" s="11" t="s">
        <v>323</v>
      </c>
      <c r="F119" s="11" t="s">
        <v>324</v>
      </c>
      <c r="G119" s="11" t="s">
        <v>40</v>
      </c>
      <c r="H119" s="11" t="s">
        <v>41</v>
      </c>
      <c r="I119" s="11" t="s">
        <v>80</v>
      </c>
      <c r="J119" s="11" t="s">
        <v>65</v>
      </c>
      <c r="K119" s="11" t="s">
        <v>201</v>
      </c>
      <c r="L119" s="11" t="s">
        <v>22</v>
      </c>
      <c r="M119" s="11" t="s">
        <v>159</v>
      </c>
      <c r="N119" s="11">
        <v>1</v>
      </c>
      <c r="O119" s="33">
        <v>1029000</v>
      </c>
      <c r="P119" s="34">
        <v>0.15</v>
      </c>
      <c r="Q119" s="33">
        <v>600000</v>
      </c>
      <c r="R119" s="11" t="s">
        <v>30</v>
      </c>
      <c r="S119" s="14">
        <f t="shared" si="29"/>
        <v>874650</v>
      </c>
      <c r="T119" s="14">
        <f t="shared" si="30"/>
        <v>600000</v>
      </c>
      <c r="U119" s="14">
        <f t="shared" si="31"/>
        <v>274650</v>
      </c>
      <c r="V119" s="35">
        <f t="shared" si="32"/>
        <v>0.31401131881323957</v>
      </c>
      <c r="W119" s="14">
        <f t="shared" si="33"/>
        <v>874650</v>
      </c>
      <c r="X119" s="14">
        <f t="shared" si="34"/>
        <v>274650</v>
      </c>
      <c r="Y119" s="11">
        <f t="shared" si="35"/>
        <v>1</v>
      </c>
    </row>
    <row r="120" spans="1:25" x14ac:dyDescent="0.35">
      <c r="A120" s="11" t="s">
        <v>325</v>
      </c>
      <c r="B120" s="17">
        <v>45910</v>
      </c>
      <c r="C120" s="11">
        <f t="shared" si="27"/>
        <v>9</v>
      </c>
      <c r="D120" s="11" t="str">
        <f t="shared" si="28"/>
        <v>Q3</v>
      </c>
      <c r="E120" s="11" t="s">
        <v>222</v>
      </c>
      <c r="F120" s="11" t="s">
        <v>223</v>
      </c>
      <c r="G120" s="11" t="s">
        <v>40</v>
      </c>
      <c r="H120" s="11" t="s">
        <v>14</v>
      </c>
      <c r="I120" s="11" t="s">
        <v>70</v>
      </c>
      <c r="J120" s="11" t="s">
        <v>18</v>
      </c>
      <c r="K120" s="11" t="s">
        <v>120</v>
      </c>
      <c r="L120" s="11" t="s">
        <v>56</v>
      </c>
      <c r="M120" s="11" t="s">
        <v>49</v>
      </c>
      <c r="N120" s="11">
        <v>2</v>
      </c>
      <c r="O120" s="33">
        <v>280000</v>
      </c>
      <c r="P120" s="34">
        <v>0</v>
      </c>
      <c r="Q120" s="33">
        <v>130000</v>
      </c>
      <c r="R120" s="11" t="s">
        <v>30</v>
      </c>
      <c r="S120" s="14">
        <f t="shared" si="29"/>
        <v>560000</v>
      </c>
      <c r="T120" s="14">
        <f t="shared" si="30"/>
        <v>260000</v>
      </c>
      <c r="U120" s="14">
        <f t="shared" si="31"/>
        <v>300000</v>
      </c>
      <c r="V120" s="35">
        <f t="shared" si="32"/>
        <v>0.5357142857142857</v>
      </c>
      <c r="W120" s="14">
        <f t="shared" si="33"/>
        <v>560000</v>
      </c>
      <c r="X120" s="14">
        <f t="shared" si="34"/>
        <v>300000</v>
      </c>
      <c r="Y120" s="11">
        <f t="shared" si="35"/>
        <v>3</v>
      </c>
    </row>
    <row r="121" spans="1:25" x14ac:dyDescent="0.35">
      <c r="A121" s="11" t="s">
        <v>326</v>
      </c>
      <c r="B121" s="17">
        <v>45911</v>
      </c>
      <c r="C121" s="11">
        <f t="shared" si="27"/>
        <v>9</v>
      </c>
      <c r="D121" s="11" t="str">
        <f t="shared" si="28"/>
        <v>Q3</v>
      </c>
      <c r="E121" s="11" t="s">
        <v>327</v>
      </c>
      <c r="F121" s="11" t="s">
        <v>328</v>
      </c>
      <c r="G121" s="11" t="s">
        <v>12</v>
      </c>
      <c r="H121" s="11" t="s">
        <v>41</v>
      </c>
      <c r="I121" s="11" t="s">
        <v>42</v>
      </c>
      <c r="J121" s="11" t="s">
        <v>18</v>
      </c>
      <c r="K121" s="11" t="s">
        <v>20</v>
      </c>
      <c r="L121" s="11" t="s">
        <v>22</v>
      </c>
      <c r="M121" s="11" t="s">
        <v>76</v>
      </c>
      <c r="N121" s="11">
        <v>6</v>
      </c>
      <c r="O121" s="33">
        <v>1200000</v>
      </c>
      <c r="P121" s="34">
        <v>0.2</v>
      </c>
      <c r="Q121" s="33">
        <v>620000</v>
      </c>
      <c r="R121" s="11" t="s">
        <v>30</v>
      </c>
      <c r="S121" s="14">
        <f t="shared" si="29"/>
        <v>5760000</v>
      </c>
      <c r="T121" s="14">
        <f t="shared" si="30"/>
        <v>3720000</v>
      </c>
      <c r="U121" s="14">
        <f t="shared" si="31"/>
        <v>2040000</v>
      </c>
      <c r="V121" s="35">
        <f t="shared" si="32"/>
        <v>0.35416666666666669</v>
      </c>
      <c r="W121" s="14">
        <f t="shared" si="33"/>
        <v>5760000</v>
      </c>
      <c r="X121" s="14">
        <f t="shared" si="34"/>
        <v>2040000</v>
      </c>
      <c r="Y121" s="11">
        <f t="shared" si="35"/>
        <v>4</v>
      </c>
    </row>
    <row r="122" spans="1:25" x14ac:dyDescent="0.35">
      <c r="A122" s="11" t="s">
        <v>329</v>
      </c>
      <c r="B122" s="17">
        <v>45911</v>
      </c>
      <c r="C122" s="11">
        <f t="shared" si="27"/>
        <v>9</v>
      </c>
      <c r="D122" s="11" t="str">
        <f t="shared" si="28"/>
        <v>Q3</v>
      </c>
      <c r="E122" s="11" t="s">
        <v>193</v>
      </c>
      <c r="F122" s="11" t="s">
        <v>194</v>
      </c>
      <c r="G122" s="11" t="s">
        <v>12</v>
      </c>
      <c r="H122" s="11" t="s">
        <v>14</v>
      </c>
      <c r="I122" s="11" t="s">
        <v>70</v>
      </c>
      <c r="J122" s="11" t="s">
        <v>18</v>
      </c>
      <c r="K122" s="11" t="s">
        <v>20</v>
      </c>
      <c r="L122" s="11" t="s">
        <v>73</v>
      </c>
      <c r="M122" s="11" t="s">
        <v>88</v>
      </c>
      <c r="N122" s="11">
        <v>6</v>
      </c>
      <c r="O122" s="33">
        <v>1200000</v>
      </c>
      <c r="P122" s="34">
        <v>0.2</v>
      </c>
      <c r="Q122" s="33">
        <v>620000</v>
      </c>
      <c r="R122" s="11" t="s">
        <v>30</v>
      </c>
      <c r="S122" s="14">
        <f t="shared" si="29"/>
        <v>5760000</v>
      </c>
      <c r="T122" s="14">
        <f t="shared" si="30"/>
        <v>3720000</v>
      </c>
      <c r="U122" s="14">
        <f t="shared" si="31"/>
        <v>2040000</v>
      </c>
      <c r="V122" s="35">
        <f t="shared" si="32"/>
        <v>0.35416666666666669</v>
      </c>
      <c r="W122" s="14">
        <f t="shared" si="33"/>
        <v>5760000</v>
      </c>
      <c r="X122" s="14">
        <f t="shared" si="34"/>
        <v>2040000</v>
      </c>
      <c r="Y122" s="11">
        <f t="shared" si="35"/>
        <v>4</v>
      </c>
    </row>
    <row r="123" spans="1:25" x14ac:dyDescent="0.35">
      <c r="A123" s="11" t="s">
        <v>330</v>
      </c>
      <c r="B123" s="17">
        <v>45913</v>
      </c>
      <c r="C123" s="11">
        <f t="shared" si="27"/>
        <v>9</v>
      </c>
      <c r="D123" s="11" t="str">
        <f t="shared" si="28"/>
        <v>Q3</v>
      </c>
      <c r="E123" s="11" t="s">
        <v>281</v>
      </c>
      <c r="F123" s="11" t="s">
        <v>282</v>
      </c>
      <c r="G123" s="11" t="s">
        <v>12</v>
      </c>
      <c r="H123" s="11" t="s">
        <v>63</v>
      </c>
      <c r="I123" s="11" t="s">
        <v>64</v>
      </c>
      <c r="J123" s="11" t="s">
        <v>18</v>
      </c>
      <c r="K123" s="11" t="s">
        <v>96</v>
      </c>
      <c r="L123" s="11" t="s">
        <v>97</v>
      </c>
      <c r="M123" s="11" t="s">
        <v>49</v>
      </c>
      <c r="N123" s="11">
        <v>10</v>
      </c>
      <c r="O123" s="33">
        <v>750000</v>
      </c>
      <c r="P123" s="34">
        <v>0.1</v>
      </c>
      <c r="Q123" s="33">
        <v>390000</v>
      </c>
      <c r="R123" s="11" t="s">
        <v>30</v>
      </c>
      <c r="S123" s="14">
        <f t="shared" si="29"/>
        <v>6750000</v>
      </c>
      <c r="T123" s="14">
        <f t="shared" si="30"/>
        <v>3900000</v>
      </c>
      <c r="U123" s="14">
        <f t="shared" si="31"/>
        <v>2850000</v>
      </c>
      <c r="V123" s="35">
        <f t="shared" si="32"/>
        <v>0.42222222222222222</v>
      </c>
      <c r="W123" s="14">
        <f t="shared" si="33"/>
        <v>6750000</v>
      </c>
      <c r="X123" s="14">
        <f t="shared" si="34"/>
        <v>2850000</v>
      </c>
      <c r="Y123" s="11">
        <f t="shared" si="35"/>
        <v>6</v>
      </c>
    </row>
    <row r="124" spans="1:25" x14ac:dyDescent="0.35">
      <c r="A124" s="11" t="s">
        <v>331</v>
      </c>
      <c r="B124" s="17">
        <v>45915</v>
      </c>
      <c r="C124" s="11">
        <f t="shared" si="27"/>
        <v>9</v>
      </c>
      <c r="D124" s="11" t="str">
        <f t="shared" si="28"/>
        <v>Q3</v>
      </c>
      <c r="E124" s="11" t="s">
        <v>178</v>
      </c>
      <c r="F124" s="11" t="s">
        <v>179</v>
      </c>
      <c r="G124" s="11" t="s">
        <v>40</v>
      </c>
      <c r="H124" s="11" t="s">
        <v>41</v>
      </c>
      <c r="I124" s="11" t="s">
        <v>80</v>
      </c>
      <c r="J124" s="11" t="s">
        <v>18</v>
      </c>
      <c r="K124" s="11" t="s">
        <v>20</v>
      </c>
      <c r="L124" s="11" t="s">
        <v>73</v>
      </c>
      <c r="M124" s="11" t="s">
        <v>159</v>
      </c>
      <c r="N124" s="11">
        <v>3</v>
      </c>
      <c r="O124" s="33">
        <v>1200000</v>
      </c>
      <c r="P124" s="34">
        <v>0</v>
      </c>
      <c r="Q124" s="33">
        <v>620000</v>
      </c>
      <c r="R124" s="11" t="s">
        <v>30</v>
      </c>
      <c r="S124" s="14">
        <f t="shared" si="29"/>
        <v>3600000</v>
      </c>
      <c r="T124" s="14">
        <f t="shared" si="30"/>
        <v>1860000</v>
      </c>
      <c r="U124" s="14">
        <f t="shared" si="31"/>
        <v>1740000</v>
      </c>
      <c r="V124" s="35">
        <f t="shared" si="32"/>
        <v>0.48333333333333334</v>
      </c>
      <c r="W124" s="14">
        <f t="shared" si="33"/>
        <v>3600000</v>
      </c>
      <c r="X124" s="14">
        <f t="shared" si="34"/>
        <v>1740000</v>
      </c>
      <c r="Y124" s="11">
        <f t="shared" si="35"/>
        <v>1</v>
      </c>
    </row>
    <row r="125" spans="1:25" x14ac:dyDescent="0.35">
      <c r="A125" s="11" t="s">
        <v>332</v>
      </c>
      <c r="B125" s="17">
        <v>45916</v>
      </c>
      <c r="C125" s="11">
        <f t="shared" si="27"/>
        <v>9</v>
      </c>
      <c r="D125" s="11" t="str">
        <f t="shared" si="28"/>
        <v>Q3</v>
      </c>
      <c r="E125" s="11" t="s">
        <v>196</v>
      </c>
      <c r="F125" s="11" t="s">
        <v>197</v>
      </c>
      <c r="G125" s="11" t="s">
        <v>40</v>
      </c>
      <c r="H125" s="11" t="s">
        <v>41</v>
      </c>
      <c r="I125" s="11" t="s">
        <v>42</v>
      </c>
      <c r="J125" s="11" t="s">
        <v>54</v>
      </c>
      <c r="K125" s="11" t="s">
        <v>55</v>
      </c>
      <c r="L125" s="11" t="s">
        <v>22</v>
      </c>
      <c r="M125" s="11" t="s">
        <v>82</v>
      </c>
      <c r="N125" s="11">
        <v>1</v>
      </c>
      <c r="O125" s="33">
        <v>850000</v>
      </c>
      <c r="P125" s="34">
        <v>0.1</v>
      </c>
      <c r="Q125" s="33">
        <v>520000</v>
      </c>
      <c r="R125" s="11" t="s">
        <v>30</v>
      </c>
      <c r="S125" s="14">
        <f t="shared" si="29"/>
        <v>765000</v>
      </c>
      <c r="T125" s="14">
        <f t="shared" si="30"/>
        <v>520000</v>
      </c>
      <c r="U125" s="14">
        <f t="shared" si="31"/>
        <v>245000</v>
      </c>
      <c r="V125" s="35">
        <f t="shared" si="32"/>
        <v>0.3202614379084967</v>
      </c>
      <c r="W125" s="14">
        <f t="shared" si="33"/>
        <v>765000</v>
      </c>
      <c r="X125" s="14">
        <f t="shared" si="34"/>
        <v>245000</v>
      </c>
      <c r="Y125" s="11">
        <f t="shared" si="35"/>
        <v>2</v>
      </c>
    </row>
    <row r="126" spans="1:25" x14ac:dyDescent="0.35">
      <c r="A126" s="11" t="s">
        <v>334</v>
      </c>
      <c r="B126" s="17">
        <v>45918</v>
      </c>
      <c r="C126" s="11">
        <f t="shared" si="27"/>
        <v>9</v>
      </c>
      <c r="D126" s="11" t="str">
        <f t="shared" si="28"/>
        <v>Q3</v>
      </c>
      <c r="E126" s="11" t="s">
        <v>171</v>
      </c>
      <c r="F126" s="11" t="s">
        <v>172</v>
      </c>
      <c r="G126" s="11" t="s">
        <v>12</v>
      </c>
      <c r="H126" s="11" t="s">
        <v>41</v>
      </c>
      <c r="I126" s="11" t="s">
        <v>173</v>
      </c>
      <c r="J126" s="11" t="s">
        <v>65</v>
      </c>
      <c r="K126" s="11" t="s">
        <v>262</v>
      </c>
      <c r="L126" s="11" t="s">
        <v>97</v>
      </c>
      <c r="M126" s="11" t="s">
        <v>76</v>
      </c>
      <c r="N126" s="11">
        <v>5</v>
      </c>
      <c r="O126" s="33">
        <v>2400000</v>
      </c>
      <c r="P126" s="34">
        <v>0.1</v>
      </c>
      <c r="Q126" s="33">
        <v>1550000</v>
      </c>
      <c r="R126" s="11" t="s">
        <v>30</v>
      </c>
      <c r="S126" s="14">
        <f t="shared" si="29"/>
        <v>10800000</v>
      </c>
      <c r="T126" s="14">
        <f t="shared" si="30"/>
        <v>7750000</v>
      </c>
      <c r="U126" s="14">
        <f t="shared" si="31"/>
        <v>3050000</v>
      </c>
      <c r="V126" s="35">
        <f t="shared" si="32"/>
        <v>0.28240740740740738</v>
      </c>
      <c r="W126" s="14">
        <f t="shared" si="33"/>
        <v>10800000</v>
      </c>
      <c r="X126" s="14">
        <f t="shared" si="34"/>
        <v>3050000</v>
      </c>
      <c r="Y126" s="11">
        <f t="shared" si="35"/>
        <v>4</v>
      </c>
    </row>
    <row r="127" spans="1:25" x14ac:dyDescent="0.35">
      <c r="A127" s="11" t="s">
        <v>335</v>
      </c>
      <c r="B127" s="17">
        <v>45918</v>
      </c>
      <c r="C127" s="11">
        <f t="shared" si="27"/>
        <v>9</v>
      </c>
      <c r="D127" s="11" t="str">
        <f t="shared" si="28"/>
        <v>Q3</v>
      </c>
      <c r="E127" s="11" t="s">
        <v>317</v>
      </c>
      <c r="F127" s="11" t="s">
        <v>318</v>
      </c>
      <c r="G127" s="11" t="s">
        <v>40</v>
      </c>
      <c r="H127" s="11" t="s">
        <v>41</v>
      </c>
      <c r="I127" s="11" t="s">
        <v>80</v>
      </c>
      <c r="J127" s="11" t="s">
        <v>54</v>
      </c>
      <c r="K127" s="11" t="s">
        <v>220</v>
      </c>
      <c r="L127" s="11" t="s">
        <v>22</v>
      </c>
      <c r="M127" s="11" t="s">
        <v>76</v>
      </c>
      <c r="N127" s="11">
        <v>2</v>
      </c>
      <c r="O127" s="33">
        <v>428000</v>
      </c>
      <c r="P127" s="34">
        <v>0.05</v>
      </c>
      <c r="Q127" s="33">
        <v>260000</v>
      </c>
      <c r="R127" s="11" t="s">
        <v>30</v>
      </c>
      <c r="S127" s="14">
        <f t="shared" si="29"/>
        <v>813200</v>
      </c>
      <c r="T127" s="14">
        <f t="shared" si="30"/>
        <v>520000</v>
      </c>
      <c r="U127" s="14">
        <f t="shared" si="31"/>
        <v>293200</v>
      </c>
      <c r="V127" s="35">
        <f t="shared" si="32"/>
        <v>0.36055090998524347</v>
      </c>
      <c r="W127" s="14">
        <f t="shared" si="33"/>
        <v>813200</v>
      </c>
      <c r="X127" s="14">
        <f t="shared" si="34"/>
        <v>293200</v>
      </c>
      <c r="Y127" s="11">
        <f t="shared" si="35"/>
        <v>4</v>
      </c>
    </row>
    <row r="128" spans="1:25" x14ac:dyDescent="0.35">
      <c r="A128" s="11" t="s">
        <v>336</v>
      </c>
      <c r="B128" s="17">
        <v>45921</v>
      </c>
      <c r="C128" s="11">
        <f t="shared" si="27"/>
        <v>9</v>
      </c>
      <c r="D128" s="11" t="str">
        <f t="shared" si="28"/>
        <v>Q3</v>
      </c>
      <c r="E128" s="11" t="s">
        <v>100</v>
      </c>
      <c r="F128" s="11" t="s">
        <v>101</v>
      </c>
      <c r="G128" s="11" t="s">
        <v>40</v>
      </c>
      <c r="H128" s="11" t="s">
        <v>14</v>
      </c>
      <c r="I128" s="11" t="s">
        <v>16</v>
      </c>
      <c r="J128" s="11" t="s">
        <v>65</v>
      </c>
      <c r="K128" s="11" t="s">
        <v>66</v>
      </c>
      <c r="L128" s="11" t="s">
        <v>56</v>
      </c>
      <c r="M128" s="11" t="s">
        <v>106</v>
      </c>
      <c r="N128" s="11">
        <v>1</v>
      </c>
      <c r="O128" s="33">
        <v>494000</v>
      </c>
      <c r="P128" s="34">
        <v>0.05</v>
      </c>
      <c r="Q128" s="33">
        <v>310000</v>
      </c>
      <c r="R128" s="11" t="s">
        <v>30</v>
      </c>
      <c r="S128" s="14">
        <f t="shared" si="29"/>
        <v>469300</v>
      </c>
      <c r="T128" s="14">
        <f t="shared" si="30"/>
        <v>310000</v>
      </c>
      <c r="U128" s="14">
        <f t="shared" si="31"/>
        <v>159300</v>
      </c>
      <c r="V128" s="35">
        <f t="shared" si="32"/>
        <v>0.33944172171318987</v>
      </c>
      <c r="W128" s="14">
        <f t="shared" si="33"/>
        <v>469300</v>
      </c>
      <c r="X128" s="14">
        <f t="shared" si="34"/>
        <v>159300</v>
      </c>
      <c r="Y128" s="11">
        <f t="shared" si="35"/>
        <v>7</v>
      </c>
    </row>
    <row r="129" spans="1:25" x14ac:dyDescent="0.35">
      <c r="A129" s="11" t="s">
        <v>337</v>
      </c>
      <c r="B129" s="17">
        <v>45921</v>
      </c>
      <c r="C129" s="11">
        <f t="shared" si="27"/>
        <v>9</v>
      </c>
      <c r="D129" s="11" t="str">
        <f t="shared" si="28"/>
        <v>Q3</v>
      </c>
      <c r="E129" s="11" t="s">
        <v>122</v>
      </c>
      <c r="F129" s="11" t="s">
        <v>123</v>
      </c>
      <c r="G129" s="11" t="s">
        <v>40</v>
      </c>
      <c r="H129" s="11" t="s">
        <v>14</v>
      </c>
      <c r="I129" s="11" t="s">
        <v>70</v>
      </c>
      <c r="J129" s="11" t="s">
        <v>65</v>
      </c>
      <c r="K129" s="11" t="s">
        <v>66</v>
      </c>
      <c r="L129" s="11" t="s">
        <v>73</v>
      </c>
      <c r="M129" s="11" t="s">
        <v>76</v>
      </c>
      <c r="N129" s="11">
        <v>1</v>
      </c>
      <c r="O129" s="33">
        <v>546000</v>
      </c>
      <c r="P129" s="34">
        <v>0.05</v>
      </c>
      <c r="Q129" s="33">
        <v>310000</v>
      </c>
      <c r="R129" s="11" t="s">
        <v>30</v>
      </c>
      <c r="S129" s="14">
        <f t="shared" si="29"/>
        <v>518700</v>
      </c>
      <c r="T129" s="14">
        <f t="shared" si="30"/>
        <v>310000</v>
      </c>
      <c r="U129" s="14">
        <f t="shared" si="31"/>
        <v>208700</v>
      </c>
      <c r="V129" s="35">
        <f t="shared" si="32"/>
        <v>0.40235203393098129</v>
      </c>
      <c r="W129" s="14">
        <f t="shared" si="33"/>
        <v>518700</v>
      </c>
      <c r="X129" s="14">
        <f t="shared" si="34"/>
        <v>208700</v>
      </c>
      <c r="Y129" s="11">
        <f t="shared" si="35"/>
        <v>7</v>
      </c>
    </row>
    <row r="130" spans="1:25" x14ac:dyDescent="0.35">
      <c r="A130" s="11" t="s">
        <v>338</v>
      </c>
      <c r="B130" s="17">
        <v>45925</v>
      </c>
      <c r="C130" s="11">
        <f t="shared" ref="C130:C161" si="36">MONTH(B130)</f>
        <v>9</v>
      </c>
      <c r="D130" s="11" t="str">
        <f t="shared" ref="D130:D161" si="37">"Q"&amp;ROUNDUP(C130/3,0)</f>
        <v>Q3</v>
      </c>
      <c r="E130" s="11" t="s">
        <v>171</v>
      </c>
      <c r="F130" s="11" t="s">
        <v>172</v>
      </c>
      <c r="G130" s="11" t="s">
        <v>12</v>
      </c>
      <c r="H130" s="11" t="s">
        <v>41</v>
      </c>
      <c r="I130" s="11" t="s">
        <v>173</v>
      </c>
      <c r="J130" s="11" t="s">
        <v>18</v>
      </c>
      <c r="K130" s="11" t="s">
        <v>96</v>
      </c>
      <c r="L130" s="11" t="s">
        <v>56</v>
      </c>
      <c r="M130" s="11" t="s">
        <v>88</v>
      </c>
      <c r="N130" s="11">
        <v>2</v>
      </c>
      <c r="O130" s="33">
        <v>712000</v>
      </c>
      <c r="P130" s="34">
        <v>0.1</v>
      </c>
      <c r="Q130" s="33">
        <v>390000</v>
      </c>
      <c r="R130" s="11" t="s">
        <v>30</v>
      </c>
      <c r="S130" s="14">
        <f t="shared" ref="S130:S161" si="38">N130*O130*(1-P130)</f>
        <v>1281600</v>
      </c>
      <c r="T130" s="14">
        <f t="shared" ref="T130:T161" si="39">N130*Q130</f>
        <v>780000</v>
      </c>
      <c r="U130" s="14">
        <f t="shared" ref="U130:U161" si="40">S130-T130</f>
        <v>501600</v>
      </c>
      <c r="V130" s="35">
        <f t="shared" ref="V130:V161" si="41">IF(S130=0,0,U130/S130)</f>
        <v>0.39138576779026218</v>
      </c>
      <c r="W130" s="14">
        <f t="shared" ref="W130:W161" si="42">IF(R130="Hoàn thành",S130,"")</f>
        <v>1281600</v>
      </c>
      <c r="X130" s="14">
        <f t="shared" ref="X130:X161" si="43">IF(R130="Hoàn thành",U130,"")</f>
        <v>501600</v>
      </c>
      <c r="Y130" s="11">
        <f t="shared" ref="Y130:Y161" si="44">WEEKDAY(B130,2)</f>
        <v>4</v>
      </c>
    </row>
    <row r="131" spans="1:25" x14ac:dyDescent="0.35">
      <c r="A131" s="11" t="s">
        <v>339</v>
      </c>
      <c r="B131" s="17">
        <v>45927</v>
      </c>
      <c r="C131" s="11">
        <f t="shared" si="36"/>
        <v>9</v>
      </c>
      <c r="D131" s="11" t="str">
        <f t="shared" si="37"/>
        <v>Q3</v>
      </c>
      <c r="E131" s="11" t="s">
        <v>103</v>
      </c>
      <c r="F131" s="11" t="s">
        <v>104</v>
      </c>
      <c r="G131" s="11" t="s">
        <v>40</v>
      </c>
      <c r="H131" s="11" t="s">
        <v>14</v>
      </c>
      <c r="I131" s="11" t="s">
        <v>105</v>
      </c>
      <c r="J131" s="11" t="s">
        <v>43</v>
      </c>
      <c r="K131" s="11" t="s">
        <v>44</v>
      </c>
      <c r="L131" s="11" t="s">
        <v>56</v>
      </c>
      <c r="M131" s="11" t="s">
        <v>49</v>
      </c>
      <c r="N131" s="11">
        <v>1</v>
      </c>
      <c r="O131" s="33">
        <v>532000</v>
      </c>
      <c r="P131" s="34">
        <v>0</v>
      </c>
      <c r="Q131" s="33">
        <v>260000</v>
      </c>
      <c r="R131" s="11" t="s">
        <v>30</v>
      </c>
      <c r="S131" s="14">
        <f t="shared" si="38"/>
        <v>532000</v>
      </c>
      <c r="T131" s="14">
        <f t="shared" si="39"/>
        <v>260000</v>
      </c>
      <c r="U131" s="14">
        <f t="shared" si="40"/>
        <v>272000</v>
      </c>
      <c r="V131" s="35">
        <f t="shared" si="41"/>
        <v>0.51127819548872178</v>
      </c>
      <c r="W131" s="14">
        <f t="shared" si="42"/>
        <v>532000</v>
      </c>
      <c r="X131" s="14">
        <f t="shared" si="43"/>
        <v>272000</v>
      </c>
      <c r="Y131" s="11">
        <f t="shared" si="44"/>
        <v>6</v>
      </c>
    </row>
    <row r="132" spans="1:25" x14ac:dyDescent="0.35">
      <c r="A132" s="11" t="s">
        <v>340</v>
      </c>
      <c r="B132" s="17">
        <v>45930</v>
      </c>
      <c r="C132" s="11">
        <f t="shared" si="36"/>
        <v>9</v>
      </c>
      <c r="D132" s="11" t="str">
        <f t="shared" si="37"/>
        <v>Q3</v>
      </c>
      <c r="E132" s="11" t="s">
        <v>341</v>
      </c>
      <c r="F132" s="11" t="s">
        <v>342</v>
      </c>
      <c r="G132" s="11" t="s">
        <v>40</v>
      </c>
      <c r="H132" s="11" t="s">
        <v>14</v>
      </c>
      <c r="I132" s="11" t="s">
        <v>16</v>
      </c>
      <c r="J132" s="11" t="s">
        <v>18</v>
      </c>
      <c r="K132" s="11" t="s">
        <v>93</v>
      </c>
      <c r="L132" s="11" t="s">
        <v>73</v>
      </c>
      <c r="M132" s="11" t="s">
        <v>49</v>
      </c>
      <c r="N132" s="11">
        <v>2</v>
      </c>
      <c r="O132" s="33">
        <v>1500000</v>
      </c>
      <c r="P132" s="34">
        <v>0</v>
      </c>
      <c r="Q132" s="33">
        <v>800000</v>
      </c>
      <c r="R132" s="11" t="s">
        <v>30</v>
      </c>
      <c r="S132" s="14">
        <f t="shared" si="38"/>
        <v>3000000</v>
      </c>
      <c r="T132" s="14">
        <f t="shared" si="39"/>
        <v>1600000</v>
      </c>
      <c r="U132" s="14">
        <f t="shared" si="40"/>
        <v>1400000</v>
      </c>
      <c r="V132" s="35">
        <f t="shared" si="41"/>
        <v>0.46666666666666667</v>
      </c>
      <c r="W132" s="14">
        <f t="shared" si="42"/>
        <v>3000000</v>
      </c>
      <c r="X132" s="14">
        <f t="shared" si="43"/>
        <v>1400000</v>
      </c>
      <c r="Y132" s="11">
        <f t="shared" si="44"/>
        <v>2</v>
      </c>
    </row>
    <row r="133" spans="1:25" x14ac:dyDescent="0.35">
      <c r="A133" s="11" t="s">
        <v>343</v>
      </c>
      <c r="B133" s="17">
        <v>45931</v>
      </c>
      <c r="C133" s="11">
        <f t="shared" si="36"/>
        <v>10</v>
      </c>
      <c r="D133" s="11" t="str">
        <f t="shared" si="37"/>
        <v>Q4</v>
      </c>
      <c r="E133" s="11" t="s">
        <v>52</v>
      </c>
      <c r="F133" s="11" t="s">
        <v>53</v>
      </c>
      <c r="G133" s="11" t="s">
        <v>40</v>
      </c>
      <c r="H133" s="11" t="s">
        <v>41</v>
      </c>
      <c r="I133" s="11" t="s">
        <v>42</v>
      </c>
      <c r="J133" s="11" t="s">
        <v>71</v>
      </c>
      <c r="K133" s="11" t="s">
        <v>87</v>
      </c>
      <c r="L133" s="11" t="s">
        <v>22</v>
      </c>
      <c r="M133" s="11" t="s">
        <v>24</v>
      </c>
      <c r="N133" s="11">
        <v>1</v>
      </c>
      <c r="O133" s="33">
        <v>399000</v>
      </c>
      <c r="P133" s="34">
        <v>0.1</v>
      </c>
      <c r="Q133" s="33">
        <v>250000</v>
      </c>
      <c r="R133" s="11" t="s">
        <v>58</v>
      </c>
      <c r="S133" s="14">
        <f t="shared" si="38"/>
        <v>359100</v>
      </c>
      <c r="T133" s="14">
        <f t="shared" si="39"/>
        <v>250000</v>
      </c>
      <c r="U133" s="14">
        <f t="shared" si="40"/>
        <v>109100</v>
      </c>
      <c r="V133" s="35">
        <f t="shared" si="41"/>
        <v>0.30381509328877748</v>
      </c>
      <c r="W133" s="14" t="str">
        <f t="shared" si="42"/>
        <v/>
      </c>
      <c r="X133" s="14" t="str">
        <f t="shared" si="43"/>
        <v/>
      </c>
      <c r="Y133" s="11">
        <f t="shared" si="44"/>
        <v>3</v>
      </c>
    </row>
    <row r="134" spans="1:25" x14ac:dyDescent="0.35">
      <c r="A134" s="11" t="s">
        <v>344</v>
      </c>
      <c r="B134" s="17">
        <v>45931</v>
      </c>
      <c r="C134" s="11">
        <f t="shared" si="36"/>
        <v>10</v>
      </c>
      <c r="D134" s="11" t="str">
        <f t="shared" si="37"/>
        <v>Q4</v>
      </c>
      <c r="E134" s="11" t="s">
        <v>210</v>
      </c>
      <c r="F134" s="11" t="s">
        <v>211</v>
      </c>
      <c r="G134" s="11" t="s">
        <v>40</v>
      </c>
      <c r="H134" s="11" t="s">
        <v>14</v>
      </c>
      <c r="I134" s="11" t="s">
        <v>105</v>
      </c>
      <c r="J134" s="11" t="s">
        <v>54</v>
      </c>
      <c r="K134" s="11" t="s">
        <v>75</v>
      </c>
      <c r="L134" s="11" t="s">
        <v>22</v>
      </c>
      <c r="M134" s="11" t="s">
        <v>106</v>
      </c>
      <c r="N134" s="11">
        <v>2</v>
      </c>
      <c r="O134" s="33">
        <v>1805000</v>
      </c>
      <c r="P134" s="34">
        <v>0.1</v>
      </c>
      <c r="Q134" s="33">
        <v>1200000</v>
      </c>
      <c r="R134" s="11" t="s">
        <v>98</v>
      </c>
      <c r="S134" s="14">
        <f t="shared" si="38"/>
        <v>3249000</v>
      </c>
      <c r="T134" s="14">
        <f t="shared" si="39"/>
        <v>2400000</v>
      </c>
      <c r="U134" s="14">
        <f t="shared" si="40"/>
        <v>849000</v>
      </c>
      <c r="V134" s="35">
        <f t="shared" si="41"/>
        <v>0.26131117266851339</v>
      </c>
      <c r="W134" s="14" t="str">
        <f t="shared" si="42"/>
        <v/>
      </c>
      <c r="X134" s="14" t="str">
        <f t="shared" si="43"/>
        <v/>
      </c>
      <c r="Y134" s="11">
        <f t="shared" si="44"/>
        <v>3</v>
      </c>
    </row>
    <row r="135" spans="1:25" x14ac:dyDescent="0.35">
      <c r="A135" s="11" t="s">
        <v>345</v>
      </c>
      <c r="B135" s="17">
        <v>45932</v>
      </c>
      <c r="C135" s="11">
        <f t="shared" si="36"/>
        <v>10</v>
      </c>
      <c r="D135" s="11" t="str">
        <f t="shared" si="37"/>
        <v>Q4</v>
      </c>
      <c r="E135" s="11" t="s">
        <v>113</v>
      </c>
      <c r="F135" s="11" t="s">
        <v>114</v>
      </c>
      <c r="G135" s="11" t="s">
        <v>40</v>
      </c>
      <c r="H135" s="11" t="s">
        <v>14</v>
      </c>
      <c r="I135" s="11" t="s">
        <v>70</v>
      </c>
      <c r="J135" s="11" t="s">
        <v>54</v>
      </c>
      <c r="K135" s="11" t="s">
        <v>55</v>
      </c>
      <c r="L135" s="11" t="s">
        <v>56</v>
      </c>
      <c r="M135" s="11" t="s">
        <v>57</v>
      </c>
      <c r="N135" s="11">
        <v>1</v>
      </c>
      <c r="O135" s="33">
        <v>808000</v>
      </c>
      <c r="P135" s="34">
        <v>0.1</v>
      </c>
      <c r="Q135" s="33">
        <v>520000</v>
      </c>
      <c r="R135" s="11" t="s">
        <v>30</v>
      </c>
      <c r="S135" s="14">
        <f t="shared" si="38"/>
        <v>727200</v>
      </c>
      <c r="T135" s="14">
        <f t="shared" si="39"/>
        <v>520000</v>
      </c>
      <c r="U135" s="14">
        <f t="shared" si="40"/>
        <v>207200</v>
      </c>
      <c r="V135" s="35">
        <f t="shared" si="41"/>
        <v>0.28492849284928495</v>
      </c>
      <c r="W135" s="14">
        <f t="shared" si="42"/>
        <v>727200</v>
      </c>
      <c r="X135" s="14">
        <f t="shared" si="43"/>
        <v>207200</v>
      </c>
      <c r="Y135" s="11">
        <f t="shared" si="44"/>
        <v>4</v>
      </c>
    </row>
    <row r="136" spans="1:25" x14ac:dyDescent="0.35">
      <c r="A136" s="11" t="s">
        <v>346</v>
      </c>
      <c r="B136" s="17">
        <v>45939</v>
      </c>
      <c r="C136" s="11">
        <f t="shared" si="36"/>
        <v>10</v>
      </c>
      <c r="D136" s="11" t="str">
        <f t="shared" si="37"/>
        <v>Q4</v>
      </c>
      <c r="E136" s="11" t="s">
        <v>305</v>
      </c>
      <c r="F136" s="11" t="s">
        <v>306</v>
      </c>
      <c r="G136" s="11" t="s">
        <v>12</v>
      </c>
      <c r="H136" s="11" t="s">
        <v>41</v>
      </c>
      <c r="I136" s="11" t="s">
        <v>80</v>
      </c>
      <c r="J136" s="11" t="s">
        <v>54</v>
      </c>
      <c r="K136" s="11" t="s">
        <v>75</v>
      </c>
      <c r="L136" s="11" t="s">
        <v>73</v>
      </c>
      <c r="M136" s="11" t="s">
        <v>49</v>
      </c>
      <c r="N136" s="11">
        <v>5</v>
      </c>
      <c r="O136" s="33">
        <v>1900000</v>
      </c>
      <c r="P136" s="34">
        <v>0.05</v>
      </c>
      <c r="Q136" s="33">
        <v>1200000</v>
      </c>
      <c r="R136" s="11" t="s">
        <v>30</v>
      </c>
      <c r="S136" s="14">
        <f t="shared" si="38"/>
        <v>9025000</v>
      </c>
      <c r="T136" s="14">
        <f t="shared" si="39"/>
        <v>6000000</v>
      </c>
      <c r="U136" s="14">
        <f t="shared" si="40"/>
        <v>3025000</v>
      </c>
      <c r="V136" s="35">
        <f t="shared" si="41"/>
        <v>0.33518005540166207</v>
      </c>
      <c r="W136" s="14">
        <f t="shared" si="42"/>
        <v>9025000</v>
      </c>
      <c r="X136" s="14">
        <f t="shared" si="43"/>
        <v>3025000</v>
      </c>
      <c r="Y136" s="11">
        <f t="shared" si="44"/>
        <v>4</v>
      </c>
    </row>
    <row r="137" spans="1:25" x14ac:dyDescent="0.35">
      <c r="A137" s="11" t="s">
        <v>347</v>
      </c>
      <c r="B137" s="17">
        <v>45941</v>
      </c>
      <c r="C137" s="11">
        <f t="shared" si="36"/>
        <v>10</v>
      </c>
      <c r="D137" s="11" t="str">
        <f t="shared" si="37"/>
        <v>Q4</v>
      </c>
      <c r="E137" s="11" t="s">
        <v>110</v>
      </c>
      <c r="F137" s="11" t="s">
        <v>111</v>
      </c>
      <c r="G137" s="11" t="s">
        <v>12</v>
      </c>
      <c r="H137" s="11" t="s">
        <v>14</v>
      </c>
      <c r="I137" s="11" t="s">
        <v>70</v>
      </c>
      <c r="J137" s="11" t="s">
        <v>18</v>
      </c>
      <c r="K137" s="11" t="s">
        <v>96</v>
      </c>
      <c r="L137" s="11" t="s">
        <v>22</v>
      </c>
      <c r="M137" s="11" t="s">
        <v>76</v>
      </c>
      <c r="N137" s="11">
        <v>5</v>
      </c>
      <c r="O137" s="33">
        <v>750000</v>
      </c>
      <c r="P137" s="34">
        <v>0.2</v>
      </c>
      <c r="Q137" s="33">
        <v>390000</v>
      </c>
      <c r="R137" s="11" t="s">
        <v>30</v>
      </c>
      <c r="S137" s="14">
        <f t="shared" si="38"/>
        <v>3000000</v>
      </c>
      <c r="T137" s="14">
        <f t="shared" si="39"/>
        <v>1950000</v>
      </c>
      <c r="U137" s="14">
        <f t="shared" si="40"/>
        <v>1050000</v>
      </c>
      <c r="V137" s="35">
        <f t="shared" si="41"/>
        <v>0.35</v>
      </c>
      <c r="W137" s="14">
        <f t="shared" si="42"/>
        <v>3000000</v>
      </c>
      <c r="X137" s="14">
        <f t="shared" si="43"/>
        <v>1050000</v>
      </c>
      <c r="Y137" s="11">
        <f t="shared" si="44"/>
        <v>6</v>
      </c>
    </row>
    <row r="138" spans="1:25" x14ac:dyDescent="0.35">
      <c r="A138" s="11" t="s">
        <v>348</v>
      </c>
      <c r="B138" s="17">
        <v>45941</v>
      </c>
      <c r="C138" s="11">
        <f t="shared" si="36"/>
        <v>10</v>
      </c>
      <c r="D138" s="11" t="str">
        <f t="shared" si="37"/>
        <v>Q4</v>
      </c>
      <c r="E138" s="11" t="s">
        <v>157</v>
      </c>
      <c r="F138" s="11" t="s">
        <v>158</v>
      </c>
      <c r="G138" s="11" t="s">
        <v>40</v>
      </c>
      <c r="H138" s="11" t="s">
        <v>41</v>
      </c>
      <c r="I138" s="11" t="s">
        <v>80</v>
      </c>
      <c r="J138" s="11" t="s">
        <v>43</v>
      </c>
      <c r="K138" s="11" t="s">
        <v>127</v>
      </c>
      <c r="L138" s="11" t="s">
        <v>56</v>
      </c>
      <c r="M138" s="11" t="s">
        <v>57</v>
      </c>
      <c r="N138" s="11">
        <v>1</v>
      </c>
      <c r="O138" s="33">
        <v>336000</v>
      </c>
      <c r="P138" s="34">
        <v>0</v>
      </c>
      <c r="Q138" s="33">
        <v>150000</v>
      </c>
      <c r="R138" s="11" t="s">
        <v>30</v>
      </c>
      <c r="S138" s="14">
        <f t="shared" si="38"/>
        <v>336000</v>
      </c>
      <c r="T138" s="14">
        <f t="shared" si="39"/>
        <v>150000</v>
      </c>
      <c r="U138" s="14">
        <f t="shared" si="40"/>
        <v>186000</v>
      </c>
      <c r="V138" s="35">
        <f t="shared" si="41"/>
        <v>0.5535714285714286</v>
      </c>
      <c r="W138" s="14">
        <f t="shared" si="42"/>
        <v>336000</v>
      </c>
      <c r="X138" s="14">
        <f t="shared" si="43"/>
        <v>186000</v>
      </c>
      <c r="Y138" s="11">
        <f t="shared" si="44"/>
        <v>6</v>
      </c>
    </row>
    <row r="139" spans="1:25" x14ac:dyDescent="0.35">
      <c r="A139" s="11" t="s">
        <v>349</v>
      </c>
      <c r="B139" s="17">
        <v>45944</v>
      </c>
      <c r="C139" s="11">
        <f t="shared" si="36"/>
        <v>10</v>
      </c>
      <c r="D139" s="11" t="str">
        <f t="shared" si="37"/>
        <v>Q4</v>
      </c>
      <c r="E139" s="11" t="s">
        <v>52</v>
      </c>
      <c r="F139" s="11" t="s">
        <v>53</v>
      </c>
      <c r="G139" s="11" t="s">
        <v>40</v>
      </c>
      <c r="H139" s="11" t="s">
        <v>41</v>
      </c>
      <c r="I139" s="11" t="s">
        <v>42</v>
      </c>
      <c r="J139" s="11" t="s">
        <v>18</v>
      </c>
      <c r="K139" s="11" t="s">
        <v>96</v>
      </c>
      <c r="L139" s="11" t="s">
        <v>22</v>
      </c>
      <c r="M139" s="11" t="s">
        <v>76</v>
      </c>
      <c r="N139" s="11">
        <v>3</v>
      </c>
      <c r="O139" s="33">
        <v>750000</v>
      </c>
      <c r="P139" s="34">
        <v>0.05</v>
      </c>
      <c r="Q139" s="33">
        <v>390000</v>
      </c>
      <c r="R139" s="11" t="s">
        <v>30</v>
      </c>
      <c r="S139" s="14">
        <f t="shared" si="38"/>
        <v>2137500</v>
      </c>
      <c r="T139" s="14">
        <f t="shared" si="39"/>
        <v>1170000</v>
      </c>
      <c r="U139" s="14">
        <f t="shared" si="40"/>
        <v>967500</v>
      </c>
      <c r="V139" s="35">
        <f t="shared" si="41"/>
        <v>0.45263157894736844</v>
      </c>
      <c r="W139" s="14">
        <f t="shared" si="42"/>
        <v>2137500</v>
      </c>
      <c r="X139" s="14">
        <f t="shared" si="43"/>
        <v>967500</v>
      </c>
      <c r="Y139" s="11">
        <f t="shared" si="44"/>
        <v>2</v>
      </c>
    </row>
    <row r="140" spans="1:25" x14ac:dyDescent="0.35">
      <c r="A140" s="11" t="s">
        <v>350</v>
      </c>
      <c r="B140" s="17">
        <v>45948</v>
      </c>
      <c r="C140" s="11">
        <f t="shared" si="36"/>
        <v>10</v>
      </c>
      <c r="D140" s="11" t="str">
        <f t="shared" si="37"/>
        <v>Q4</v>
      </c>
      <c r="E140" s="11" t="s">
        <v>8</v>
      </c>
      <c r="F140" s="11" t="s">
        <v>129</v>
      </c>
      <c r="G140" s="11" t="s">
        <v>40</v>
      </c>
      <c r="H140" s="11" t="s">
        <v>63</v>
      </c>
      <c r="I140" s="11" t="s">
        <v>130</v>
      </c>
      <c r="J140" s="11" t="s">
        <v>65</v>
      </c>
      <c r="K140" s="11" t="s">
        <v>201</v>
      </c>
      <c r="L140" s="11" t="s">
        <v>22</v>
      </c>
      <c r="M140" s="11" t="s">
        <v>88</v>
      </c>
      <c r="N140" s="11">
        <v>4</v>
      </c>
      <c r="O140" s="33">
        <v>980000</v>
      </c>
      <c r="P140" s="34">
        <v>0</v>
      </c>
      <c r="Q140" s="33">
        <v>600000</v>
      </c>
      <c r="R140" s="11" t="s">
        <v>30</v>
      </c>
      <c r="S140" s="14">
        <f t="shared" si="38"/>
        <v>3920000</v>
      </c>
      <c r="T140" s="14">
        <f t="shared" si="39"/>
        <v>2400000</v>
      </c>
      <c r="U140" s="14">
        <f t="shared" si="40"/>
        <v>1520000</v>
      </c>
      <c r="V140" s="35">
        <f t="shared" si="41"/>
        <v>0.38775510204081631</v>
      </c>
      <c r="W140" s="14">
        <f t="shared" si="42"/>
        <v>3920000</v>
      </c>
      <c r="X140" s="14">
        <f t="shared" si="43"/>
        <v>1520000</v>
      </c>
      <c r="Y140" s="11">
        <f t="shared" si="44"/>
        <v>6</v>
      </c>
    </row>
    <row r="141" spans="1:25" x14ac:dyDescent="0.35">
      <c r="A141" s="11" t="s">
        <v>351</v>
      </c>
      <c r="B141" s="17">
        <v>45951</v>
      </c>
      <c r="C141" s="11">
        <f t="shared" si="36"/>
        <v>10</v>
      </c>
      <c r="D141" s="11" t="str">
        <f t="shared" si="37"/>
        <v>Q4</v>
      </c>
      <c r="E141" s="11" t="s">
        <v>232</v>
      </c>
      <c r="F141" s="11" t="s">
        <v>233</v>
      </c>
      <c r="G141" s="11" t="s">
        <v>40</v>
      </c>
      <c r="H141" s="11" t="s">
        <v>41</v>
      </c>
      <c r="I141" s="11" t="s">
        <v>42</v>
      </c>
      <c r="J141" s="11" t="s">
        <v>18</v>
      </c>
      <c r="K141" s="11" t="s">
        <v>96</v>
      </c>
      <c r="L141" s="11" t="s">
        <v>56</v>
      </c>
      <c r="M141" s="11" t="s">
        <v>49</v>
      </c>
      <c r="N141" s="11">
        <v>2</v>
      </c>
      <c r="O141" s="33">
        <v>712000</v>
      </c>
      <c r="P141" s="34">
        <v>0.05</v>
      </c>
      <c r="Q141" s="33">
        <v>390000</v>
      </c>
      <c r="R141" s="11" t="s">
        <v>30</v>
      </c>
      <c r="S141" s="14">
        <f t="shared" si="38"/>
        <v>1352800</v>
      </c>
      <c r="T141" s="14">
        <f t="shared" si="39"/>
        <v>780000</v>
      </c>
      <c r="U141" s="14">
        <f t="shared" si="40"/>
        <v>572800</v>
      </c>
      <c r="V141" s="35">
        <f t="shared" si="41"/>
        <v>0.42341809580130102</v>
      </c>
      <c r="W141" s="14">
        <f t="shared" si="42"/>
        <v>1352800</v>
      </c>
      <c r="X141" s="14">
        <f t="shared" si="43"/>
        <v>572800</v>
      </c>
      <c r="Y141" s="11">
        <f t="shared" si="44"/>
        <v>2</v>
      </c>
    </row>
    <row r="142" spans="1:25" x14ac:dyDescent="0.35">
      <c r="A142" s="11" t="s">
        <v>352</v>
      </c>
      <c r="B142" s="17">
        <v>45952</v>
      </c>
      <c r="C142" s="11">
        <f t="shared" si="36"/>
        <v>10</v>
      </c>
      <c r="D142" s="11" t="str">
        <f t="shared" si="37"/>
        <v>Q4</v>
      </c>
      <c r="E142" s="11" t="s">
        <v>95</v>
      </c>
      <c r="F142" s="11" t="s">
        <v>10</v>
      </c>
      <c r="G142" s="11" t="s">
        <v>12</v>
      </c>
      <c r="H142" s="11" t="s">
        <v>41</v>
      </c>
      <c r="I142" s="11" t="s">
        <v>42</v>
      </c>
      <c r="J142" s="11" t="s">
        <v>65</v>
      </c>
      <c r="K142" s="11" t="s">
        <v>140</v>
      </c>
      <c r="L142" s="11" t="s">
        <v>22</v>
      </c>
      <c r="M142" s="11" t="s">
        <v>76</v>
      </c>
      <c r="N142" s="11">
        <v>3</v>
      </c>
      <c r="O142" s="33">
        <v>1600000</v>
      </c>
      <c r="P142" s="34">
        <v>0.05</v>
      </c>
      <c r="Q142" s="33">
        <v>1000000</v>
      </c>
      <c r="R142" s="11" t="s">
        <v>98</v>
      </c>
      <c r="S142" s="14">
        <f t="shared" si="38"/>
        <v>4560000</v>
      </c>
      <c r="T142" s="14">
        <f t="shared" si="39"/>
        <v>3000000</v>
      </c>
      <c r="U142" s="14">
        <f t="shared" si="40"/>
        <v>1560000</v>
      </c>
      <c r="V142" s="35">
        <f t="shared" si="41"/>
        <v>0.34210526315789475</v>
      </c>
      <c r="W142" s="14" t="str">
        <f t="shared" si="42"/>
        <v/>
      </c>
      <c r="X142" s="14" t="str">
        <f t="shared" si="43"/>
        <v/>
      </c>
      <c r="Y142" s="11">
        <f t="shared" si="44"/>
        <v>3</v>
      </c>
    </row>
    <row r="143" spans="1:25" x14ac:dyDescent="0.35">
      <c r="A143" s="11" t="s">
        <v>353</v>
      </c>
      <c r="B143" s="17">
        <v>45952</v>
      </c>
      <c r="C143" s="11">
        <f t="shared" si="36"/>
        <v>10</v>
      </c>
      <c r="D143" s="11" t="str">
        <f t="shared" si="37"/>
        <v>Q4</v>
      </c>
      <c r="E143" s="11" t="s">
        <v>341</v>
      </c>
      <c r="F143" s="11" t="s">
        <v>342</v>
      </c>
      <c r="G143" s="11" t="s">
        <v>40</v>
      </c>
      <c r="H143" s="11" t="s">
        <v>14</v>
      </c>
      <c r="I143" s="11" t="s">
        <v>16</v>
      </c>
      <c r="J143" s="11" t="s">
        <v>18</v>
      </c>
      <c r="K143" s="11" t="s">
        <v>120</v>
      </c>
      <c r="L143" s="11" t="s">
        <v>22</v>
      </c>
      <c r="M143" s="11" t="s">
        <v>106</v>
      </c>
      <c r="N143" s="11">
        <v>2</v>
      </c>
      <c r="O143" s="33">
        <v>280000</v>
      </c>
      <c r="P143" s="34">
        <v>0.05</v>
      </c>
      <c r="Q143" s="33">
        <v>130000</v>
      </c>
      <c r="R143" s="11" t="s">
        <v>30</v>
      </c>
      <c r="S143" s="14">
        <f t="shared" si="38"/>
        <v>532000</v>
      </c>
      <c r="T143" s="14">
        <f t="shared" si="39"/>
        <v>260000</v>
      </c>
      <c r="U143" s="14">
        <f t="shared" si="40"/>
        <v>272000</v>
      </c>
      <c r="V143" s="35">
        <f t="shared" si="41"/>
        <v>0.51127819548872178</v>
      </c>
      <c r="W143" s="14">
        <f t="shared" si="42"/>
        <v>532000</v>
      </c>
      <c r="X143" s="14">
        <f t="shared" si="43"/>
        <v>272000</v>
      </c>
      <c r="Y143" s="11">
        <f t="shared" si="44"/>
        <v>3</v>
      </c>
    </row>
    <row r="144" spans="1:25" x14ac:dyDescent="0.35">
      <c r="A144" s="11" t="s">
        <v>354</v>
      </c>
      <c r="B144" s="17">
        <v>45957</v>
      </c>
      <c r="C144" s="11">
        <f t="shared" si="36"/>
        <v>10</v>
      </c>
      <c r="D144" s="11" t="str">
        <f t="shared" si="37"/>
        <v>Q4</v>
      </c>
      <c r="E144" s="11" t="s">
        <v>271</v>
      </c>
      <c r="F144" s="11" t="s">
        <v>272</v>
      </c>
      <c r="G144" s="11" t="s">
        <v>40</v>
      </c>
      <c r="H144" s="11" t="s">
        <v>14</v>
      </c>
      <c r="I144" s="11" t="s">
        <v>135</v>
      </c>
      <c r="J144" s="11" t="s">
        <v>71</v>
      </c>
      <c r="K144" s="11" t="s">
        <v>87</v>
      </c>
      <c r="L144" s="11" t="s">
        <v>56</v>
      </c>
      <c r="M144" s="11" t="s">
        <v>49</v>
      </c>
      <c r="N144" s="11">
        <v>1</v>
      </c>
      <c r="O144" s="33">
        <v>361000</v>
      </c>
      <c r="P144" s="34">
        <v>0.05</v>
      </c>
      <c r="Q144" s="33">
        <v>250000</v>
      </c>
      <c r="R144" s="11" t="s">
        <v>30</v>
      </c>
      <c r="S144" s="14">
        <f t="shared" si="38"/>
        <v>342950</v>
      </c>
      <c r="T144" s="14">
        <f t="shared" si="39"/>
        <v>250000</v>
      </c>
      <c r="U144" s="14">
        <f t="shared" si="40"/>
        <v>92950</v>
      </c>
      <c r="V144" s="35">
        <f t="shared" si="41"/>
        <v>0.2710307625018224</v>
      </c>
      <c r="W144" s="14">
        <f t="shared" si="42"/>
        <v>342950</v>
      </c>
      <c r="X144" s="14">
        <f t="shared" si="43"/>
        <v>92950</v>
      </c>
      <c r="Y144" s="11">
        <f t="shared" si="44"/>
        <v>1</v>
      </c>
    </row>
    <row r="145" spans="1:25" x14ac:dyDescent="0.35">
      <c r="A145" s="11" t="s">
        <v>355</v>
      </c>
      <c r="B145" s="17">
        <v>45958</v>
      </c>
      <c r="C145" s="11">
        <f t="shared" si="36"/>
        <v>10</v>
      </c>
      <c r="D145" s="11" t="str">
        <f t="shared" si="37"/>
        <v>Q4</v>
      </c>
      <c r="E145" s="11" t="s">
        <v>152</v>
      </c>
      <c r="F145" s="11" t="s">
        <v>153</v>
      </c>
      <c r="G145" s="11" t="s">
        <v>40</v>
      </c>
      <c r="H145" s="11" t="s">
        <v>41</v>
      </c>
      <c r="I145" s="11" t="s">
        <v>80</v>
      </c>
      <c r="J145" s="11" t="s">
        <v>43</v>
      </c>
      <c r="K145" s="11" t="s">
        <v>44</v>
      </c>
      <c r="L145" s="11" t="s">
        <v>22</v>
      </c>
      <c r="M145" s="11" t="s">
        <v>57</v>
      </c>
      <c r="N145" s="11">
        <v>3</v>
      </c>
      <c r="O145" s="33">
        <v>588000</v>
      </c>
      <c r="P145" s="34">
        <v>0.05</v>
      </c>
      <c r="Q145" s="33">
        <v>260000</v>
      </c>
      <c r="R145" s="11" t="s">
        <v>30</v>
      </c>
      <c r="S145" s="14">
        <f t="shared" si="38"/>
        <v>1675800</v>
      </c>
      <c r="T145" s="14">
        <f t="shared" si="39"/>
        <v>780000</v>
      </c>
      <c r="U145" s="14">
        <f t="shared" si="40"/>
        <v>895800</v>
      </c>
      <c r="V145" s="35">
        <f t="shared" si="41"/>
        <v>0.5345506623702112</v>
      </c>
      <c r="W145" s="14">
        <f t="shared" si="42"/>
        <v>1675800</v>
      </c>
      <c r="X145" s="14">
        <f t="shared" si="43"/>
        <v>895800</v>
      </c>
      <c r="Y145" s="11">
        <f t="shared" si="44"/>
        <v>2</v>
      </c>
    </row>
    <row r="146" spans="1:25" x14ac:dyDescent="0.35">
      <c r="A146" s="11" t="s">
        <v>356</v>
      </c>
      <c r="B146" s="17">
        <v>45958</v>
      </c>
      <c r="C146" s="11">
        <f t="shared" si="36"/>
        <v>10</v>
      </c>
      <c r="D146" s="11" t="str">
        <f t="shared" si="37"/>
        <v>Q4</v>
      </c>
      <c r="E146" s="11" t="s">
        <v>254</v>
      </c>
      <c r="F146" s="11" t="s">
        <v>255</v>
      </c>
      <c r="G146" s="11" t="s">
        <v>40</v>
      </c>
      <c r="H146" s="11" t="s">
        <v>14</v>
      </c>
      <c r="I146" s="11" t="s">
        <v>16</v>
      </c>
      <c r="J146" s="11" t="s">
        <v>54</v>
      </c>
      <c r="K146" s="11" t="s">
        <v>136</v>
      </c>
      <c r="L146" s="11" t="s">
        <v>22</v>
      </c>
      <c r="M146" s="11" t="s">
        <v>24</v>
      </c>
      <c r="N146" s="11">
        <v>1</v>
      </c>
      <c r="O146" s="33">
        <v>1140000</v>
      </c>
      <c r="P146" s="34">
        <v>0.15</v>
      </c>
      <c r="Q146" s="33">
        <v>720000</v>
      </c>
      <c r="R146" s="11" t="s">
        <v>30</v>
      </c>
      <c r="S146" s="14">
        <f t="shared" si="38"/>
        <v>969000</v>
      </c>
      <c r="T146" s="14">
        <f t="shared" si="39"/>
        <v>720000</v>
      </c>
      <c r="U146" s="14">
        <f t="shared" si="40"/>
        <v>249000</v>
      </c>
      <c r="V146" s="35">
        <f t="shared" si="41"/>
        <v>0.25696594427244585</v>
      </c>
      <c r="W146" s="14">
        <f t="shared" si="42"/>
        <v>969000</v>
      </c>
      <c r="X146" s="14">
        <f t="shared" si="43"/>
        <v>249000</v>
      </c>
      <c r="Y146" s="11">
        <f t="shared" si="44"/>
        <v>2</v>
      </c>
    </row>
    <row r="147" spans="1:25" x14ac:dyDescent="0.35">
      <c r="A147" s="11" t="s">
        <v>357</v>
      </c>
      <c r="B147" s="17">
        <v>45959</v>
      </c>
      <c r="C147" s="11">
        <f t="shared" si="36"/>
        <v>10</v>
      </c>
      <c r="D147" s="11" t="str">
        <f t="shared" si="37"/>
        <v>Q4</v>
      </c>
      <c r="E147" s="11" t="s">
        <v>138</v>
      </c>
      <c r="F147" s="11" t="s">
        <v>139</v>
      </c>
      <c r="G147" s="11" t="s">
        <v>40</v>
      </c>
      <c r="H147" s="11" t="s">
        <v>14</v>
      </c>
      <c r="I147" s="11" t="s">
        <v>70</v>
      </c>
      <c r="J147" s="11" t="s">
        <v>65</v>
      </c>
      <c r="K147" s="11" t="s">
        <v>262</v>
      </c>
      <c r="L147" s="11" t="s">
        <v>22</v>
      </c>
      <c r="M147" s="11" t="s">
        <v>159</v>
      </c>
      <c r="N147" s="11">
        <v>4</v>
      </c>
      <c r="O147" s="33">
        <v>2520000</v>
      </c>
      <c r="P147" s="34">
        <v>0</v>
      </c>
      <c r="Q147" s="33">
        <v>1550000</v>
      </c>
      <c r="R147" s="11" t="s">
        <v>30</v>
      </c>
      <c r="S147" s="14">
        <f t="shared" si="38"/>
        <v>10080000</v>
      </c>
      <c r="T147" s="14">
        <f t="shared" si="39"/>
        <v>6200000</v>
      </c>
      <c r="U147" s="14">
        <f t="shared" si="40"/>
        <v>3880000</v>
      </c>
      <c r="V147" s="35">
        <f t="shared" si="41"/>
        <v>0.38492063492063494</v>
      </c>
      <c r="W147" s="14">
        <f t="shared" si="42"/>
        <v>10080000</v>
      </c>
      <c r="X147" s="14">
        <f t="shared" si="43"/>
        <v>3880000</v>
      </c>
      <c r="Y147" s="11">
        <f t="shared" si="44"/>
        <v>3</v>
      </c>
    </row>
    <row r="148" spans="1:25" x14ac:dyDescent="0.35">
      <c r="A148" s="11" t="s">
        <v>358</v>
      </c>
      <c r="B148" s="17">
        <v>45959</v>
      </c>
      <c r="C148" s="11">
        <f t="shared" si="36"/>
        <v>10</v>
      </c>
      <c r="D148" s="11" t="str">
        <f t="shared" si="37"/>
        <v>Q4</v>
      </c>
      <c r="E148" s="11" t="s">
        <v>78</v>
      </c>
      <c r="F148" s="11" t="s">
        <v>79</v>
      </c>
      <c r="G148" s="11" t="s">
        <v>40</v>
      </c>
      <c r="H148" s="11" t="s">
        <v>41</v>
      </c>
      <c r="I148" s="11" t="s">
        <v>80</v>
      </c>
      <c r="J148" s="11" t="s">
        <v>43</v>
      </c>
      <c r="K148" s="11" t="s">
        <v>127</v>
      </c>
      <c r="L148" s="11" t="s">
        <v>73</v>
      </c>
      <c r="M148" s="11" t="s">
        <v>82</v>
      </c>
      <c r="N148" s="11">
        <v>2</v>
      </c>
      <c r="O148" s="33">
        <v>336000</v>
      </c>
      <c r="P148" s="34">
        <v>0.1</v>
      </c>
      <c r="Q148" s="33">
        <v>150000</v>
      </c>
      <c r="R148" s="11" t="s">
        <v>30</v>
      </c>
      <c r="S148" s="14">
        <f t="shared" si="38"/>
        <v>604800</v>
      </c>
      <c r="T148" s="14">
        <f t="shared" si="39"/>
        <v>300000</v>
      </c>
      <c r="U148" s="14">
        <f t="shared" si="40"/>
        <v>304800</v>
      </c>
      <c r="V148" s="35">
        <f t="shared" si="41"/>
        <v>0.50396825396825395</v>
      </c>
      <c r="W148" s="14">
        <f t="shared" si="42"/>
        <v>604800</v>
      </c>
      <c r="X148" s="14">
        <f t="shared" si="43"/>
        <v>304800</v>
      </c>
      <c r="Y148" s="11">
        <f t="shared" si="44"/>
        <v>3</v>
      </c>
    </row>
    <row r="149" spans="1:25" x14ac:dyDescent="0.35">
      <c r="A149" s="11" t="s">
        <v>359</v>
      </c>
      <c r="B149" s="17">
        <v>45964</v>
      </c>
      <c r="C149" s="11">
        <f t="shared" si="36"/>
        <v>11</v>
      </c>
      <c r="D149" s="11" t="str">
        <f t="shared" si="37"/>
        <v>Q4</v>
      </c>
      <c r="E149" s="11" t="s">
        <v>281</v>
      </c>
      <c r="F149" s="11" t="s">
        <v>282</v>
      </c>
      <c r="G149" s="11" t="s">
        <v>12</v>
      </c>
      <c r="H149" s="11" t="s">
        <v>63</v>
      </c>
      <c r="I149" s="11" t="s">
        <v>64</v>
      </c>
      <c r="J149" s="11" t="s">
        <v>71</v>
      </c>
      <c r="K149" s="11" t="s">
        <v>87</v>
      </c>
      <c r="L149" s="11" t="s">
        <v>56</v>
      </c>
      <c r="M149" s="11" t="s">
        <v>57</v>
      </c>
      <c r="N149" s="11">
        <v>10</v>
      </c>
      <c r="O149" s="33">
        <v>380000</v>
      </c>
      <c r="P149" s="34">
        <v>0</v>
      </c>
      <c r="Q149" s="33">
        <v>250000</v>
      </c>
      <c r="R149" s="11" t="s">
        <v>58</v>
      </c>
      <c r="S149" s="14">
        <f t="shared" si="38"/>
        <v>3800000</v>
      </c>
      <c r="T149" s="14">
        <f t="shared" si="39"/>
        <v>2500000</v>
      </c>
      <c r="U149" s="14">
        <f t="shared" si="40"/>
        <v>1300000</v>
      </c>
      <c r="V149" s="35">
        <f t="shared" si="41"/>
        <v>0.34210526315789475</v>
      </c>
      <c r="W149" s="14" t="str">
        <f t="shared" si="42"/>
        <v/>
      </c>
      <c r="X149" s="14" t="str">
        <f t="shared" si="43"/>
        <v/>
      </c>
      <c r="Y149" s="11">
        <f t="shared" si="44"/>
        <v>1</v>
      </c>
    </row>
    <row r="150" spans="1:25" x14ac:dyDescent="0.35">
      <c r="A150" s="11" t="s">
        <v>360</v>
      </c>
      <c r="B150" s="17">
        <v>45968</v>
      </c>
      <c r="C150" s="11">
        <f t="shared" si="36"/>
        <v>11</v>
      </c>
      <c r="D150" s="11" t="str">
        <f t="shared" si="37"/>
        <v>Q4</v>
      </c>
      <c r="E150" s="11" t="s">
        <v>61</v>
      </c>
      <c r="F150" s="11" t="s">
        <v>62</v>
      </c>
      <c r="G150" s="11" t="s">
        <v>40</v>
      </c>
      <c r="H150" s="11" t="s">
        <v>63</v>
      </c>
      <c r="I150" s="11" t="s">
        <v>64</v>
      </c>
      <c r="J150" s="11" t="s">
        <v>65</v>
      </c>
      <c r="K150" s="11" t="s">
        <v>262</v>
      </c>
      <c r="L150" s="11" t="s">
        <v>56</v>
      </c>
      <c r="M150" s="11" t="s">
        <v>24</v>
      </c>
      <c r="N150" s="11">
        <v>1</v>
      </c>
      <c r="O150" s="33">
        <v>2400000</v>
      </c>
      <c r="P150" s="34">
        <v>0.1</v>
      </c>
      <c r="Q150" s="33">
        <v>1550000</v>
      </c>
      <c r="R150" s="11" t="s">
        <v>30</v>
      </c>
      <c r="S150" s="14">
        <f t="shared" si="38"/>
        <v>2160000</v>
      </c>
      <c r="T150" s="14">
        <f t="shared" si="39"/>
        <v>1550000</v>
      </c>
      <c r="U150" s="14">
        <f t="shared" si="40"/>
        <v>610000</v>
      </c>
      <c r="V150" s="35">
        <f t="shared" si="41"/>
        <v>0.28240740740740738</v>
      </c>
      <c r="W150" s="14">
        <f t="shared" si="42"/>
        <v>2160000</v>
      </c>
      <c r="X150" s="14">
        <f t="shared" si="43"/>
        <v>610000</v>
      </c>
      <c r="Y150" s="11">
        <f t="shared" si="44"/>
        <v>5</v>
      </c>
    </row>
    <row r="151" spans="1:25" x14ac:dyDescent="0.35">
      <c r="A151" s="11" t="s">
        <v>361</v>
      </c>
      <c r="B151" s="17">
        <v>45968</v>
      </c>
      <c r="C151" s="11">
        <f t="shared" si="36"/>
        <v>11</v>
      </c>
      <c r="D151" s="11" t="str">
        <f t="shared" si="37"/>
        <v>Q4</v>
      </c>
      <c r="E151" s="11" t="s">
        <v>323</v>
      </c>
      <c r="F151" s="11" t="s">
        <v>324</v>
      </c>
      <c r="G151" s="11" t="s">
        <v>40</v>
      </c>
      <c r="H151" s="11" t="s">
        <v>41</v>
      </c>
      <c r="I151" s="11" t="s">
        <v>80</v>
      </c>
      <c r="J151" s="11" t="s">
        <v>43</v>
      </c>
      <c r="K151" s="11" t="s">
        <v>48</v>
      </c>
      <c r="L151" s="11" t="s">
        <v>22</v>
      </c>
      <c r="M151" s="11" t="s">
        <v>159</v>
      </c>
      <c r="N151" s="11">
        <v>2</v>
      </c>
      <c r="O151" s="33">
        <v>290000</v>
      </c>
      <c r="P151" s="34">
        <v>0.1</v>
      </c>
      <c r="Q151" s="33">
        <v>120000</v>
      </c>
      <c r="R151" s="11" t="s">
        <v>30</v>
      </c>
      <c r="S151" s="14">
        <f t="shared" si="38"/>
        <v>522000</v>
      </c>
      <c r="T151" s="14">
        <f t="shared" si="39"/>
        <v>240000</v>
      </c>
      <c r="U151" s="14">
        <f t="shared" si="40"/>
        <v>282000</v>
      </c>
      <c r="V151" s="35">
        <f t="shared" si="41"/>
        <v>0.54022988505747127</v>
      </c>
      <c r="W151" s="14">
        <f t="shared" si="42"/>
        <v>522000</v>
      </c>
      <c r="X151" s="14">
        <f t="shared" si="43"/>
        <v>282000</v>
      </c>
      <c r="Y151" s="11">
        <f t="shared" si="44"/>
        <v>5</v>
      </c>
    </row>
    <row r="152" spans="1:25" x14ac:dyDescent="0.35">
      <c r="A152" s="11" t="s">
        <v>362</v>
      </c>
      <c r="B152" s="17">
        <v>45968</v>
      </c>
      <c r="C152" s="11">
        <f t="shared" si="36"/>
        <v>11</v>
      </c>
      <c r="D152" s="11" t="str">
        <f t="shared" si="37"/>
        <v>Q4</v>
      </c>
      <c r="E152" s="11" t="s">
        <v>363</v>
      </c>
      <c r="F152" s="11" t="s">
        <v>364</v>
      </c>
      <c r="G152" s="11" t="s">
        <v>40</v>
      </c>
      <c r="H152" s="11" t="s">
        <v>14</v>
      </c>
      <c r="I152" s="11" t="s">
        <v>135</v>
      </c>
      <c r="J152" s="11" t="s">
        <v>54</v>
      </c>
      <c r="K152" s="11" t="s">
        <v>136</v>
      </c>
      <c r="L152" s="11" t="s">
        <v>22</v>
      </c>
      <c r="M152" s="11" t="s">
        <v>24</v>
      </c>
      <c r="N152" s="11">
        <v>2</v>
      </c>
      <c r="O152" s="33">
        <v>1200000</v>
      </c>
      <c r="P152" s="34">
        <v>0.1</v>
      </c>
      <c r="Q152" s="33">
        <v>720000</v>
      </c>
      <c r="R152" s="11" t="s">
        <v>30</v>
      </c>
      <c r="S152" s="14">
        <f t="shared" si="38"/>
        <v>2160000</v>
      </c>
      <c r="T152" s="14">
        <f t="shared" si="39"/>
        <v>1440000</v>
      </c>
      <c r="U152" s="14">
        <f t="shared" si="40"/>
        <v>720000</v>
      </c>
      <c r="V152" s="35">
        <f t="shared" si="41"/>
        <v>0.33333333333333331</v>
      </c>
      <c r="W152" s="14">
        <f t="shared" si="42"/>
        <v>2160000</v>
      </c>
      <c r="X152" s="14">
        <f t="shared" si="43"/>
        <v>720000</v>
      </c>
      <c r="Y152" s="11">
        <f t="shared" si="44"/>
        <v>5</v>
      </c>
    </row>
    <row r="153" spans="1:25" x14ac:dyDescent="0.35">
      <c r="A153" s="11" t="s">
        <v>365</v>
      </c>
      <c r="B153" s="17">
        <v>45970</v>
      </c>
      <c r="C153" s="11">
        <f t="shared" si="36"/>
        <v>11</v>
      </c>
      <c r="D153" s="11" t="str">
        <f t="shared" si="37"/>
        <v>Q4</v>
      </c>
      <c r="E153" s="11" t="s">
        <v>266</v>
      </c>
      <c r="F153" s="11" t="s">
        <v>267</v>
      </c>
      <c r="G153" s="11" t="s">
        <v>40</v>
      </c>
      <c r="H153" s="11" t="s">
        <v>41</v>
      </c>
      <c r="I153" s="11" t="s">
        <v>86</v>
      </c>
      <c r="J153" s="11" t="s">
        <v>18</v>
      </c>
      <c r="K153" s="11" t="s">
        <v>20</v>
      </c>
      <c r="L153" s="11" t="s">
        <v>97</v>
      </c>
      <c r="M153" s="11" t="s">
        <v>57</v>
      </c>
      <c r="N153" s="11">
        <v>1</v>
      </c>
      <c r="O153" s="33">
        <v>1200000</v>
      </c>
      <c r="P153" s="34">
        <v>0</v>
      </c>
      <c r="Q153" s="33">
        <v>620000</v>
      </c>
      <c r="R153" s="11" t="s">
        <v>30</v>
      </c>
      <c r="S153" s="14">
        <f t="shared" si="38"/>
        <v>1200000</v>
      </c>
      <c r="T153" s="14">
        <f t="shared" si="39"/>
        <v>620000</v>
      </c>
      <c r="U153" s="14">
        <f t="shared" si="40"/>
        <v>580000</v>
      </c>
      <c r="V153" s="35">
        <f t="shared" si="41"/>
        <v>0.48333333333333334</v>
      </c>
      <c r="W153" s="14">
        <f t="shared" si="42"/>
        <v>1200000</v>
      </c>
      <c r="X153" s="14">
        <f t="shared" si="43"/>
        <v>580000</v>
      </c>
      <c r="Y153" s="11">
        <f t="shared" si="44"/>
        <v>7</v>
      </c>
    </row>
    <row r="154" spans="1:25" x14ac:dyDescent="0.35">
      <c r="A154" s="11" t="s">
        <v>366</v>
      </c>
      <c r="B154" s="17">
        <v>45972</v>
      </c>
      <c r="C154" s="11">
        <f t="shared" si="36"/>
        <v>11</v>
      </c>
      <c r="D154" s="11" t="str">
        <f t="shared" si="37"/>
        <v>Q4</v>
      </c>
      <c r="E154" s="11" t="s">
        <v>266</v>
      </c>
      <c r="F154" s="11" t="s">
        <v>267</v>
      </c>
      <c r="G154" s="11" t="s">
        <v>40</v>
      </c>
      <c r="H154" s="11" t="s">
        <v>41</v>
      </c>
      <c r="I154" s="11" t="s">
        <v>86</v>
      </c>
      <c r="J154" s="11" t="s">
        <v>18</v>
      </c>
      <c r="K154" s="11" t="s">
        <v>20</v>
      </c>
      <c r="L154" s="11" t="s">
        <v>22</v>
      </c>
      <c r="M154" s="11" t="s">
        <v>88</v>
      </c>
      <c r="N154" s="11">
        <v>1</v>
      </c>
      <c r="O154" s="33">
        <v>1200000</v>
      </c>
      <c r="P154" s="34">
        <v>0.05</v>
      </c>
      <c r="Q154" s="33">
        <v>620000</v>
      </c>
      <c r="R154" s="11" t="s">
        <v>30</v>
      </c>
      <c r="S154" s="14">
        <f t="shared" si="38"/>
        <v>1140000</v>
      </c>
      <c r="T154" s="14">
        <f t="shared" si="39"/>
        <v>620000</v>
      </c>
      <c r="U154" s="14">
        <f t="shared" si="40"/>
        <v>520000</v>
      </c>
      <c r="V154" s="35">
        <f t="shared" si="41"/>
        <v>0.45614035087719296</v>
      </c>
      <c r="W154" s="14">
        <f t="shared" si="42"/>
        <v>1140000</v>
      </c>
      <c r="X154" s="14">
        <f t="shared" si="43"/>
        <v>520000</v>
      </c>
      <c r="Y154" s="11">
        <f t="shared" si="44"/>
        <v>2</v>
      </c>
    </row>
    <row r="155" spans="1:25" x14ac:dyDescent="0.35">
      <c r="A155" s="11" t="s">
        <v>367</v>
      </c>
      <c r="B155" s="17">
        <v>45973</v>
      </c>
      <c r="C155" s="11">
        <f t="shared" si="36"/>
        <v>11</v>
      </c>
      <c r="D155" s="11" t="str">
        <f t="shared" si="37"/>
        <v>Q4</v>
      </c>
      <c r="E155" s="11" t="s">
        <v>146</v>
      </c>
      <c r="F155" s="11" t="s">
        <v>147</v>
      </c>
      <c r="G155" s="11" t="s">
        <v>40</v>
      </c>
      <c r="H155" s="11" t="s">
        <v>41</v>
      </c>
      <c r="I155" s="11" t="s">
        <v>80</v>
      </c>
      <c r="J155" s="11" t="s">
        <v>54</v>
      </c>
      <c r="K155" s="11" t="s">
        <v>75</v>
      </c>
      <c r="L155" s="11" t="s">
        <v>73</v>
      </c>
      <c r="M155" s="11" t="s">
        <v>76</v>
      </c>
      <c r="N155" s="11">
        <v>3</v>
      </c>
      <c r="O155" s="33">
        <v>1995000</v>
      </c>
      <c r="P155" s="34">
        <v>0.05</v>
      </c>
      <c r="Q155" s="33">
        <v>1200000</v>
      </c>
      <c r="R155" s="11" t="s">
        <v>58</v>
      </c>
      <c r="S155" s="14">
        <f t="shared" si="38"/>
        <v>5685750</v>
      </c>
      <c r="T155" s="14">
        <f t="shared" si="39"/>
        <v>3600000</v>
      </c>
      <c r="U155" s="14">
        <f t="shared" si="40"/>
        <v>2085750</v>
      </c>
      <c r="V155" s="35">
        <f t="shared" si="41"/>
        <v>0.36683814800158293</v>
      </c>
      <c r="W155" s="14" t="str">
        <f t="shared" si="42"/>
        <v/>
      </c>
      <c r="X155" s="14" t="str">
        <f t="shared" si="43"/>
        <v/>
      </c>
      <c r="Y155" s="11">
        <f t="shared" si="44"/>
        <v>3</v>
      </c>
    </row>
    <row r="156" spans="1:25" x14ac:dyDescent="0.35">
      <c r="A156" s="11" t="s">
        <v>368</v>
      </c>
      <c r="B156" s="17">
        <v>45974</v>
      </c>
      <c r="C156" s="11">
        <f t="shared" si="36"/>
        <v>11</v>
      </c>
      <c r="D156" s="11" t="str">
        <f t="shared" si="37"/>
        <v>Q4</v>
      </c>
      <c r="E156" s="11" t="s">
        <v>188</v>
      </c>
      <c r="F156" s="11" t="s">
        <v>189</v>
      </c>
      <c r="G156" s="11" t="s">
        <v>40</v>
      </c>
      <c r="H156" s="11" t="s">
        <v>14</v>
      </c>
      <c r="I156" s="11" t="s">
        <v>16</v>
      </c>
      <c r="J156" s="11" t="s">
        <v>65</v>
      </c>
      <c r="K156" s="11" t="s">
        <v>66</v>
      </c>
      <c r="L156" s="11" t="s">
        <v>73</v>
      </c>
      <c r="M156" s="11" t="s">
        <v>57</v>
      </c>
      <c r="N156" s="11">
        <v>3</v>
      </c>
      <c r="O156" s="33">
        <v>520000</v>
      </c>
      <c r="P156" s="34">
        <v>0.05</v>
      </c>
      <c r="Q156" s="33">
        <v>310000</v>
      </c>
      <c r="R156" s="11" t="s">
        <v>30</v>
      </c>
      <c r="S156" s="14">
        <f t="shared" si="38"/>
        <v>1482000</v>
      </c>
      <c r="T156" s="14">
        <f t="shared" si="39"/>
        <v>930000</v>
      </c>
      <c r="U156" s="14">
        <f t="shared" si="40"/>
        <v>552000</v>
      </c>
      <c r="V156" s="35">
        <f t="shared" si="41"/>
        <v>0.37246963562753038</v>
      </c>
      <c r="W156" s="14">
        <f t="shared" si="42"/>
        <v>1482000</v>
      </c>
      <c r="X156" s="14">
        <f t="shared" si="43"/>
        <v>552000</v>
      </c>
      <c r="Y156" s="11">
        <f t="shared" si="44"/>
        <v>4</v>
      </c>
    </row>
    <row r="157" spans="1:25" x14ac:dyDescent="0.35">
      <c r="A157" s="11" t="s">
        <v>369</v>
      </c>
      <c r="B157" s="17">
        <v>45975</v>
      </c>
      <c r="C157" s="11">
        <f t="shared" si="36"/>
        <v>11</v>
      </c>
      <c r="D157" s="11" t="str">
        <f t="shared" si="37"/>
        <v>Q4</v>
      </c>
      <c r="E157" s="11" t="s">
        <v>196</v>
      </c>
      <c r="F157" s="11" t="s">
        <v>197</v>
      </c>
      <c r="G157" s="11" t="s">
        <v>40</v>
      </c>
      <c r="H157" s="11" t="s">
        <v>41</v>
      </c>
      <c r="I157" s="11" t="s">
        <v>42</v>
      </c>
      <c r="J157" s="11" t="s">
        <v>43</v>
      </c>
      <c r="K157" s="11" t="s">
        <v>127</v>
      </c>
      <c r="L157" s="11" t="s">
        <v>22</v>
      </c>
      <c r="M157" s="11" t="s">
        <v>88</v>
      </c>
      <c r="N157" s="11">
        <v>1</v>
      </c>
      <c r="O157" s="33">
        <v>304000</v>
      </c>
      <c r="P157" s="34">
        <v>0.2</v>
      </c>
      <c r="Q157" s="33">
        <v>150000</v>
      </c>
      <c r="R157" s="11" t="s">
        <v>30</v>
      </c>
      <c r="S157" s="14">
        <f t="shared" si="38"/>
        <v>243200</v>
      </c>
      <c r="T157" s="14">
        <f t="shared" si="39"/>
        <v>150000</v>
      </c>
      <c r="U157" s="14">
        <f t="shared" si="40"/>
        <v>93200</v>
      </c>
      <c r="V157" s="35">
        <f t="shared" si="41"/>
        <v>0.38322368421052633</v>
      </c>
      <c r="W157" s="14">
        <f t="shared" si="42"/>
        <v>243200</v>
      </c>
      <c r="X157" s="14">
        <f t="shared" si="43"/>
        <v>93200</v>
      </c>
      <c r="Y157" s="11">
        <f t="shared" si="44"/>
        <v>5</v>
      </c>
    </row>
    <row r="158" spans="1:25" x14ac:dyDescent="0.35">
      <c r="A158" s="11" t="s">
        <v>370</v>
      </c>
      <c r="B158" s="17">
        <v>45977</v>
      </c>
      <c r="C158" s="11">
        <f t="shared" si="36"/>
        <v>11</v>
      </c>
      <c r="D158" s="11" t="str">
        <f t="shared" si="37"/>
        <v>Q4</v>
      </c>
      <c r="E158" s="11" t="s">
        <v>175</v>
      </c>
      <c r="F158" s="11" t="s">
        <v>176</v>
      </c>
      <c r="G158" s="11" t="s">
        <v>12</v>
      </c>
      <c r="H158" s="11" t="s">
        <v>41</v>
      </c>
      <c r="I158" s="11" t="s">
        <v>80</v>
      </c>
      <c r="J158" s="11" t="s">
        <v>43</v>
      </c>
      <c r="K158" s="11" t="s">
        <v>127</v>
      </c>
      <c r="L158" s="11" t="s">
        <v>22</v>
      </c>
      <c r="M158" s="11" t="s">
        <v>49</v>
      </c>
      <c r="N158" s="11">
        <v>5</v>
      </c>
      <c r="O158" s="33">
        <v>336000</v>
      </c>
      <c r="P158" s="34">
        <v>0.1</v>
      </c>
      <c r="Q158" s="33">
        <v>150000</v>
      </c>
      <c r="R158" s="11" t="s">
        <v>30</v>
      </c>
      <c r="S158" s="14">
        <f t="shared" si="38"/>
        <v>1512000</v>
      </c>
      <c r="T158" s="14">
        <f t="shared" si="39"/>
        <v>750000</v>
      </c>
      <c r="U158" s="14">
        <f t="shared" si="40"/>
        <v>762000</v>
      </c>
      <c r="V158" s="35">
        <f t="shared" si="41"/>
        <v>0.50396825396825395</v>
      </c>
      <c r="W158" s="14">
        <f t="shared" si="42"/>
        <v>1512000</v>
      </c>
      <c r="X158" s="14">
        <f t="shared" si="43"/>
        <v>762000</v>
      </c>
      <c r="Y158" s="11">
        <f t="shared" si="44"/>
        <v>7</v>
      </c>
    </row>
    <row r="159" spans="1:25" x14ac:dyDescent="0.35">
      <c r="A159" s="11" t="s">
        <v>371</v>
      </c>
      <c r="B159" s="17">
        <v>45981</v>
      </c>
      <c r="C159" s="11">
        <f t="shared" si="36"/>
        <v>11</v>
      </c>
      <c r="D159" s="11" t="str">
        <f t="shared" si="37"/>
        <v>Q4</v>
      </c>
      <c r="E159" s="11" t="s">
        <v>196</v>
      </c>
      <c r="F159" s="11" t="s">
        <v>197</v>
      </c>
      <c r="G159" s="11" t="s">
        <v>40</v>
      </c>
      <c r="H159" s="11" t="s">
        <v>41</v>
      </c>
      <c r="I159" s="11" t="s">
        <v>42</v>
      </c>
      <c r="J159" s="11" t="s">
        <v>65</v>
      </c>
      <c r="K159" s="11" t="s">
        <v>262</v>
      </c>
      <c r="L159" s="11" t="s">
        <v>22</v>
      </c>
      <c r="M159" s="11" t="s">
        <v>159</v>
      </c>
      <c r="N159" s="11">
        <v>1</v>
      </c>
      <c r="O159" s="33">
        <v>2520000</v>
      </c>
      <c r="P159" s="34">
        <v>0.1</v>
      </c>
      <c r="Q159" s="33">
        <v>1550000</v>
      </c>
      <c r="R159" s="11" t="s">
        <v>30</v>
      </c>
      <c r="S159" s="14">
        <f t="shared" si="38"/>
        <v>2268000</v>
      </c>
      <c r="T159" s="14">
        <f t="shared" si="39"/>
        <v>1550000</v>
      </c>
      <c r="U159" s="14">
        <f t="shared" si="40"/>
        <v>718000</v>
      </c>
      <c r="V159" s="35">
        <f t="shared" si="41"/>
        <v>0.31657848324514992</v>
      </c>
      <c r="W159" s="14">
        <f t="shared" si="42"/>
        <v>2268000</v>
      </c>
      <c r="X159" s="14">
        <f t="shared" si="43"/>
        <v>718000</v>
      </c>
      <c r="Y159" s="11">
        <f t="shared" si="44"/>
        <v>4</v>
      </c>
    </row>
    <row r="160" spans="1:25" x14ac:dyDescent="0.35">
      <c r="A160" s="11" t="s">
        <v>372</v>
      </c>
      <c r="B160" s="17">
        <v>45982</v>
      </c>
      <c r="C160" s="11">
        <f t="shared" si="36"/>
        <v>11</v>
      </c>
      <c r="D160" s="11" t="str">
        <f t="shared" si="37"/>
        <v>Q4</v>
      </c>
      <c r="E160" s="11" t="s">
        <v>125</v>
      </c>
      <c r="F160" s="11" t="s">
        <v>126</v>
      </c>
      <c r="G160" s="11" t="s">
        <v>40</v>
      </c>
      <c r="H160" s="11" t="s">
        <v>63</v>
      </c>
      <c r="I160" s="11" t="s">
        <v>92</v>
      </c>
      <c r="J160" s="11" t="s">
        <v>18</v>
      </c>
      <c r="K160" s="11" t="s">
        <v>20</v>
      </c>
      <c r="L160" s="11" t="s">
        <v>97</v>
      </c>
      <c r="M160" s="11" t="s">
        <v>76</v>
      </c>
      <c r="N160" s="11">
        <v>1</v>
      </c>
      <c r="O160" s="33">
        <v>1260000</v>
      </c>
      <c r="P160" s="34">
        <v>0.05</v>
      </c>
      <c r="Q160" s="33">
        <v>620000</v>
      </c>
      <c r="R160" s="11" t="s">
        <v>30</v>
      </c>
      <c r="S160" s="14">
        <f t="shared" si="38"/>
        <v>1197000</v>
      </c>
      <c r="T160" s="14">
        <f t="shared" si="39"/>
        <v>620000</v>
      </c>
      <c r="U160" s="14">
        <f t="shared" si="40"/>
        <v>577000</v>
      </c>
      <c r="V160" s="35">
        <f t="shared" si="41"/>
        <v>0.48203842940685043</v>
      </c>
      <c r="W160" s="14">
        <f t="shared" si="42"/>
        <v>1197000</v>
      </c>
      <c r="X160" s="14">
        <f t="shared" si="43"/>
        <v>577000</v>
      </c>
      <c r="Y160" s="11">
        <f t="shared" si="44"/>
        <v>5</v>
      </c>
    </row>
    <row r="161" spans="1:25" x14ac:dyDescent="0.35">
      <c r="A161" s="11" t="s">
        <v>373</v>
      </c>
      <c r="B161" s="17">
        <v>45990</v>
      </c>
      <c r="C161" s="11">
        <f t="shared" si="36"/>
        <v>11</v>
      </c>
      <c r="D161" s="11" t="str">
        <f t="shared" si="37"/>
        <v>Q4</v>
      </c>
      <c r="E161" s="11" t="s">
        <v>327</v>
      </c>
      <c r="F161" s="11" t="s">
        <v>328</v>
      </c>
      <c r="G161" s="11" t="s">
        <v>12</v>
      </c>
      <c r="H161" s="11" t="s">
        <v>41</v>
      </c>
      <c r="I161" s="11" t="s">
        <v>42</v>
      </c>
      <c r="J161" s="11" t="s">
        <v>54</v>
      </c>
      <c r="K161" s="11" t="s">
        <v>220</v>
      </c>
      <c r="L161" s="11" t="s">
        <v>97</v>
      </c>
      <c r="M161" s="11" t="s">
        <v>49</v>
      </c>
      <c r="N161" s="11">
        <v>2</v>
      </c>
      <c r="O161" s="33">
        <v>450000</v>
      </c>
      <c r="P161" s="34">
        <v>0.1</v>
      </c>
      <c r="Q161" s="33">
        <v>260000</v>
      </c>
      <c r="R161" s="11" t="s">
        <v>30</v>
      </c>
      <c r="S161" s="14">
        <f t="shared" si="38"/>
        <v>810000</v>
      </c>
      <c r="T161" s="14">
        <f t="shared" si="39"/>
        <v>520000</v>
      </c>
      <c r="U161" s="14">
        <f t="shared" si="40"/>
        <v>290000</v>
      </c>
      <c r="V161" s="35">
        <f t="shared" si="41"/>
        <v>0.35802469135802467</v>
      </c>
      <c r="W161" s="14">
        <f t="shared" si="42"/>
        <v>810000</v>
      </c>
      <c r="X161" s="14">
        <f t="shared" si="43"/>
        <v>290000</v>
      </c>
      <c r="Y161" s="11">
        <f t="shared" si="44"/>
        <v>6</v>
      </c>
    </row>
    <row r="162" spans="1:25" x14ac:dyDescent="0.35">
      <c r="A162" s="11" t="s">
        <v>374</v>
      </c>
      <c r="B162" s="17">
        <v>45991</v>
      </c>
      <c r="C162" s="11">
        <f t="shared" ref="C162:C193" si="45">MONTH(B162)</f>
        <v>11</v>
      </c>
      <c r="D162" s="11" t="str">
        <f t="shared" ref="D162:D193" si="46">"Q"&amp;ROUNDUP(C162/3,0)</f>
        <v>Q4</v>
      </c>
      <c r="E162" s="11" t="s">
        <v>149</v>
      </c>
      <c r="F162" s="11" t="s">
        <v>150</v>
      </c>
      <c r="G162" s="11" t="s">
        <v>40</v>
      </c>
      <c r="H162" s="11" t="s">
        <v>41</v>
      </c>
      <c r="I162" s="11" t="s">
        <v>80</v>
      </c>
      <c r="J162" s="11" t="s">
        <v>43</v>
      </c>
      <c r="K162" s="11" t="s">
        <v>127</v>
      </c>
      <c r="L162" s="11" t="s">
        <v>56</v>
      </c>
      <c r="M162" s="11" t="s">
        <v>106</v>
      </c>
      <c r="N162" s="11">
        <v>1</v>
      </c>
      <c r="O162" s="33">
        <v>320000</v>
      </c>
      <c r="P162" s="34">
        <v>0</v>
      </c>
      <c r="Q162" s="33">
        <v>150000</v>
      </c>
      <c r="R162" s="11" t="s">
        <v>30</v>
      </c>
      <c r="S162" s="14">
        <f t="shared" ref="S162:S193" si="47">N162*O162*(1-P162)</f>
        <v>320000</v>
      </c>
      <c r="T162" s="14">
        <f t="shared" ref="T162:T193" si="48">N162*Q162</f>
        <v>150000</v>
      </c>
      <c r="U162" s="14">
        <f t="shared" ref="U162:U193" si="49">S162-T162</f>
        <v>170000</v>
      </c>
      <c r="V162" s="35">
        <f t="shared" ref="V162:V193" si="50">IF(S162=0,0,U162/S162)</f>
        <v>0.53125</v>
      </c>
      <c r="W162" s="14">
        <f t="shared" ref="W162:W193" si="51">IF(R162="Hoàn thành",S162,"")</f>
        <v>320000</v>
      </c>
      <c r="X162" s="14">
        <f t="shared" ref="X162:X193" si="52">IF(R162="Hoàn thành",U162,"")</f>
        <v>170000</v>
      </c>
      <c r="Y162" s="11">
        <f t="shared" ref="Y162:Y193" si="53">WEEKDAY(B162,2)</f>
        <v>7</v>
      </c>
    </row>
    <row r="163" spans="1:25" x14ac:dyDescent="0.35">
      <c r="A163" s="11" t="s">
        <v>375</v>
      </c>
      <c r="B163" s="17">
        <v>45991</v>
      </c>
      <c r="C163" s="11">
        <f t="shared" si="45"/>
        <v>11</v>
      </c>
      <c r="D163" s="11" t="str">
        <f t="shared" si="46"/>
        <v>Q4</v>
      </c>
      <c r="E163" s="11" t="s">
        <v>309</v>
      </c>
      <c r="F163" s="11" t="s">
        <v>310</v>
      </c>
      <c r="G163" s="11" t="s">
        <v>40</v>
      </c>
      <c r="H163" s="11" t="s">
        <v>41</v>
      </c>
      <c r="I163" s="11" t="s">
        <v>173</v>
      </c>
      <c r="J163" s="11" t="s">
        <v>18</v>
      </c>
      <c r="K163" s="11" t="s">
        <v>96</v>
      </c>
      <c r="L163" s="11" t="s">
        <v>56</v>
      </c>
      <c r="M163" s="11" t="s">
        <v>24</v>
      </c>
      <c r="N163" s="11">
        <v>2</v>
      </c>
      <c r="O163" s="33">
        <v>750000</v>
      </c>
      <c r="P163" s="34">
        <v>0.05</v>
      </c>
      <c r="Q163" s="33">
        <v>390000</v>
      </c>
      <c r="R163" s="11" t="s">
        <v>58</v>
      </c>
      <c r="S163" s="14">
        <f t="shared" si="47"/>
        <v>1425000</v>
      </c>
      <c r="T163" s="14">
        <f t="shared" si="48"/>
        <v>780000</v>
      </c>
      <c r="U163" s="14">
        <f t="shared" si="49"/>
        <v>645000</v>
      </c>
      <c r="V163" s="35">
        <f t="shared" si="50"/>
        <v>0.45263157894736844</v>
      </c>
      <c r="W163" s="14" t="str">
        <f t="shared" si="51"/>
        <v/>
      </c>
      <c r="X163" s="14" t="str">
        <f t="shared" si="52"/>
        <v/>
      </c>
      <c r="Y163" s="11">
        <f t="shared" si="53"/>
        <v>7</v>
      </c>
    </row>
    <row r="164" spans="1:25" x14ac:dyDescent="0.35">
      <c r="A164" s="11" t="s">
        <v>376</v>
      </c>
      <c r="B164" s="17">
        <v>45992</v>
      </c>
      <c r="C164" s="11">
        <f t="shared" si="45"/>
        <v>12</v>
      </c>
      <c r="D164" s="11" t="str">
        <f t="shared" si="46"/>
        <v>Q4</v>
      </c>
      <c r="E164" s="11" t="s">
        <v>236</v>
      </c>
      <c r="F164" s="11" t="s">
        <v>237</v>
      </c>
      <c r="G164" s="11" t="s">
        <v>40</v>
      </c>
      <c r="H164" s="11" t="s">
        <v>63</v>
      </c>
      <c r="I164" s="11" t="s">
        <v>238</v>
      </c>
      <c r="J164" s="11" t="s">
        <v>65</v>
      </c>
      <c r="K164" s="11" t="s">
        <v>140</v>
      </c>
      <c r="L164" s="11" t="s">
        <v>56</v>
      </c>
      <c r="M164" s="11" t="s">
        <v>49</v>
      </c>
      <c r="N164" s="11">
        <v>2</v>
      </c>
      <c r="O164" s="33">
        <v>1600000</v>
      </c>
      <c r="P164" s="34">
        <v>0.1</v>
      </c>
      <c r="Q164" s="33">
        <v>1000000</v>
      </c>
      <c r="R164" s="11" t="s">
        <v>30</v>
      </c>
      <c r="S164" s="14">
        <f t="shared" si="47"/>
        <v>2880000</v>
      </c>
      <c r="T164" s="14">
        <f t="shared" si="48"/>
        <v>2000000</v>
      </c>
      <c r="U164" s="14">
        <f t="shared" si="49"/>
        <v>880000</v>
      </c>
      <c r="V164" s="35">
        <f t="shared" si="50"/>
        <v>0.30555555555555558</v>
      </c>
      <c r="W164" s="14">
        <f t="shared" si="51"/>
        <v>2880000</v>
      </c>
      <c r="X164" s="14">
        <f t="shared" si="52"/>
        <v>880000</v>
      </c>
      <c r="Y164" s="11">
        <f t="shared" si="53"/>
        <v>1</v>
      </c>
    </row>
    <row r="165" spans="1:25" x14ac:dyDescent="0.35">
      <c r="A165" s="11" t="s">
        <v>377</v>
      </c>
      <c r="B165" s="17">
        <v>45992</v>
      </c>
      <c r="C165" s="11">
        <f t="shared" si="45"/>
        <v>12</v>
      </c>
      <c r="D165" s="11" t="str">
        <f t="shared" si="46"/>
        <v>Q4</v>
      </c>
      <c r="E165" s="11" t="s">
        <v>222</v>
      </c>
      <c r="F165" s="11" t="s">
        <v>223</v>
      </c>
      <c r="G165" s="11" t="s">
        <v>40</v>
      </c>
      <c r="H165" s="11" t="s">
        <v>14</v>
      </c>
      <c r="I165" s="11" t="s">
        <v>70</v>
      </c>
      <c r="J165" s="11" t="s">
        <v>65</v>
      </c>
      <c r="K165" s="11" t="s">
        <v>262</v>
      </c>
      <c r="L165" s="11" t="s">
        <v>22</v>
      </c>
      <c r="M165" s="11" t="s">
        <v>57</v>
      </c>
      <c r="N165" s="11">
        <v>1</v>
      </c>
      <c r="O165" s="33">
        <v>2520000</v>
      </c>
      <c r="P165" s="34">
        <v>0.15</v>
      </c>
      <c r="Q165" s="33">
        <v>1550000</v>
      </c>
      <c r="R165" s="11" t="s">
        <v>30</v>
      </c>
      <c r="S165" s="14">
        <f t="shared" si="47"/>
        <v>2142000</v>
      </c>
      <c r="T165" s="14">
        <f t="shared" si="48"/>
        <v>1550000</v>
      </c>
      <c r="U165" s="14">
        <f t="shared" si="49"/>
        <v>592000</v>
      </c>
      <c r="V165" s="35">
        <f t="shared" si="50"/>
        <v>0.27637721755368816</v>
      </c>
      <c r="W165" s="14">
        <f t="shared" si="51"/>
        <v>2142000</v>
      </c>
      <c r="X165" s="14">
        <f t="shared" si="52"/>
        <v>592000</v>
      </c>
      <c r="Y165" s="11">
        <f t="shared" si="53"/>
        <v>1</v>
      </c>
    </row>
    <row r="166" spans="1:25" x14ac:dyDescent="0.35">
      <c r="A166" s="11" t="s">
        <v>378</v>
      </c>
      <c r="B166" s="17">
        <v>45993</v>
      </c>
      <c r="C166" s="11">
        <f t="shared" si="45"/>
        <v>12</v>
      </c>
      <c r="D166" s="11" t="str">
        <f t="shared" si="46"/>
        <v>Q4</v>
      </c>
      <c r="E166" s="11" t="s">
        <v>323</v>
      </c>
      <c r="F166" s="11" t="s">
        <v>324</v>
      </c>
      <c r="G166" s="11" t="s">
        <v>40</v>
      </c>
      <c r="H166" s="11" t="s">
        <v>41</v>
      </c>
      <c r="I166" s="11" t="s">
        <v>80</v>
      </c>
      <c r="J166" s="11" t="s">
        <v>54</v>
      </c>
      <c r="K166" s="11" t="s">
        <v>55</v>
      </c>
      <c r="L166" s="11" t="s">
        <v>73</v>
      </c>
      <c r="M166" s="11" t="s">
        <v>76</v>
      </c>
      <c r="N166" s="11">
        <v>2</v>
      </c>
      <c r="O166" s="33">
        <v>850000</v>
      </c>
      <c r="P166" s="34">
        <v>0.05</v>
      </c>
      <c r="Q166" s="33">
        <v>520000</v>
      </c>
      <c r="R166" s="11" t="s">
        <v>98</v>
      </c>
      <c r="S166" s="14">
        <f t="shared" si="47"/>
        <v>1615000</v>
      </c>
      <c r="T166" s="14">
        <f t="shared" si="48"/>
        <v>1040000</v>
      </c>
      <c r="U166" s="14">
        <f t="shared" si="49"/>
        <v>575000</v>
      </c>
      <c r="V166" s="35">
        <f t="shared" si="50"/>
        <v>0.35603715170278638</v>
      </c>
      <c r="W166" s="14" t="str">
        <f t="shared" si="51"/>
        <v/>
      </c>
      <c r="X166" s="14" t="str">
        <f t="shared" si="52"/>
        <v/>
      </c>
      <c r="Y166" s="11">
        <f t="shared" si="53"/>
        <v>2</v>
      </c>
    </row>
    <row r="167" spans="1:25" x14ac:dyDescent="0.35">
      <c r="A167" s="11" t="s">
        <v>379</v>
      </c>
      <c r="B167" s="17">
        <v>45994</v>
      </c>
      <c r="C167" s="11">
        <f t="shared" si="45"/>
        <v>12</v>
      </c>
      <c r="D167" s="11" t="str">
        <f t="shared" si="46"/>
        <v>Q4</v>
      </c>
      <c r="E167" s="11" t="s">
        <v>285</v>
      </c>
      <c r="F167" s="11" t="s">
        <v>286</v>
      </c>
      <c r="G167" s="11" t="s">
        <v>12</v>
      </c>
      <c r="H167" s="11" t="s">
        <v>14</v>
      </c>
      <c r="I167" s="11" t="s">
        <v>70</v>
      </c>
      <c r="J167" s="11" t="s">
        <v>18</v>
      </c>
      <c r="K167" s="11" t="s">
        <v>20</v>
      </c>
      <c r="L167" s="11" t="s">
        <v>97</v>
      </c>
      <c r="M167" s="11" t="s">
        <v>24</v>
      </c>
      <c r="N167" s="11">
        <v>3</v>
      </c>
      <c r="O167" s="33">
        <v>1140000</v>
      </c>
      <c r="P167" s="34">
        <v>0.15</v>
      </c>
      <c r="Q167" s="33">
        <v>620000</v>
      </c>
      <c r="R167" s="11" t="s">
        <v>30</v>
      </c>
      <c r="S167" s="14">
        <f t="shared" si="47"/>
        <v>2907000</v>
      </c>
      <c r="T167" s="14">
        <f t="shared" si="48"/>
        <v>1860000</v>
      </c>
      <c r="U167" s="14">
        <f t="shared" si="49"/>
        <v>1047000</v>
      </c>
      <c r="V167" s="35">
        <f t="shared" si="50"/>
        <v>0.36016511867905054</v>
      </c>
      <c r="W167" s="14">
        <f t="shared" si="51"/>
        <v>2907000</v>
      </c>
      <c r="X167" s="14">
        <f t="shared" si="52"/>
        <v>1047000</v>
      </c>
      <c r="Y167" s="11">
        <f t="shared" si="53"/>
        <v>3</v>
      </c>
    </row>
    <row r="168" spans="1:25" x14ac:dyDescent="0.35">
      <c r="A168" s="11" t="s">
        <v>380</v>
      </c>
      <c r="B168" s="17">
        <v>45994</v>
      </c>
      <c r="C168" s="11">
        <f t="shared" si="45"/>
        <v>12</v>
      </c>
      <c r="D168" s="11" t="str">
        <f t="shared" si="46"/>
        <v>Q4</v>
      </c>
      <c r="E168" s="11" t="s">
        <v>125</v>
      </c>
      <c r="F168" s="11" t="s">
        <v>126</v>
      </c>
      <c r="G168" s="11" t="s">
        <v>40</v>
      </c>
      <c r="H168" s="11" t="s">
        <v>63</v>
      </c>
      <c r="I168" s="11" t="s">
        <v>92</v>
      </c>
      <c r="J168" s="11" t="s">
        <v>65</v>
      </c>
      <c r="K168" s="11" t="s">
        <v>262</v>
      </c>
      <c r="L168" s="11" t="s">
        <v>56</v>
      </c>
      <c r="M168" s="11" t="s">
        <v>106</v>
      </c>
      <c r="N168" s="11">
        <v>1</v>
      </c>
      <c r="O168" s="33">
        <v>2280000</v>
      </c>
      <c r="P168" s="34">
        <v>0.05</v>
      </c>
      <c r="Q168" s="33">
        <v>1550000</v>
      </c>
      <c r="R168" s="11" t="s">
        <v>30</v>
      </c>
      <c r="S168" s="14">
        <f t="shared" si="47"/>
        <v>2166000</v>
      </c>
      <c r="T168" s="14">
        <f t="shared" si="48"/>
        <v>1550000</v>
      </c>
      <c r="U168" s="14">
        <f t="shared" si="49"/>
        <v>616000</v>
      </c>
      <c r="V168" s="35">
        <f t="shared" si="50"/>
        <v>0.28439519852262235</v>
      </c>
      <c r="W168" s="14">
        <f t="shared" si="51"/>
        <v>2166000</v>
      </c>
      <c r="X168" s="14">
        <f t="shared" si="52"/>
        <v>616000</v>
      </c>
      <c r="Y168" s="11">
        <f t="shared" si="53"/>
        <v>3</v>
      </c>
    </row>
    <row r="169" spans="1:25" x14ac:dyDescent="0.35">
      <c r="A169" s="11" t="s">
        <v>381</v>
      </c>
      <c r="B169" s="17">
        <v>45995</v>
      </c>
      <c r="C169" s="11">
        <f t="shared" si="45"/>
        <v>12</v>
      </c>
      <c r="D169" s="11" t="str">
        <f t="shared" si="46"/>
        <v>Q4</v>
      </c>
      <c r="E169" s="11" t="s">
        <v>175</v>
      </c>
      <c r="F169" s="11" t="s">
        <v>176</v>
      </c>
      <c r="G169" s="11" t="s">
        <v>12</v>
      </c>
      <c r="H169" s="11" t="s">
        <v>41</v>
      </c>
      <c r="I169" s="11" t="s">
        <v>80</v>
      </c>
      <c r="J169" s="11" t="s">
        <v>18</v>
      </c>
      <c r="K169" s="11" t="s">
        <v>120</v>
      </c>
      <c r="L169" s="11" t="s">
        <v>73</v>
      </c>
      <c r="M169" s="11" t="s">
        <v>57</v>
      </c>
      <c r="N169" s="11">
        <v>5</v>
      </c>
      <c r="O169" s="33">
        <v>280000</v>
      </c>
      <c r="P169" s="34">
        <v>0.1</v>
      </c>
      <c r="Q169" s="33">
        <v>130000</v>
      </c>
      <c r="R169" s="11" t="s">
        <v>30</v>
      </c>
      <c r="S169" s="14">
        <f t="shared" si="47"/>
        <v>1260000</v>
      </c>
      <c r="T169" s="14">
        <f t="shared" si="48"/>
        <v>650000</v>
      </c>
      <c r="U169" s="14">
        <f t="shared" si="49"/>
        <v>610000</v>
      </c>
      <c r="V169" s="35">
        <f t="shared" si="50"/>
        <v>0.48412698412698413</v>
      </c>
      <c r="W169" s="14">
        <f t="shared" si="51"/>
        <v>1260000</v>
      </c>
      <c r="X169" s="14">
        <f t="shared" si="52"/>
        <v>610000</v>
      </c>
      <c r="Y169" s="11">
        <f t="shared" si="53"/>
        <v>4</v>
      </c>
    </row>
    <row r="170" spans="1:25" x14ac:dyDescent="0.35">
      <c r="A170" s="11" t="s">
        <v>382</v>
      </c>
      <c r="B170" s="17">
        <v>45995</v>
      </c>
      <c r="C170" s="11">
        <f t="shared" si="45"/>
        <v>12</v>
      </c>
      <c r="D170" s="11" t="str">
        <f t="shared" si="46"/>
        <v>Q4</v>
      </c>
      <c r="E170" s="11" t="s">
        <v>113</v>
      </c>
      <c r="F170" s="11" t="s">
        <v>114</v>
      </c>
      <c r="G170" s="11" t="s">
        <v>40</v>
      </c>
      <c r="H170" s="11" t="s">
        <v>14</v>
      </c>
      <c r="I170" s="11" t="s">
        <v>70</v>
      </c>
      <c r="J170" s="11" t="s">
        <v>71</v>
      </c>
      <c r="K170" s="11" t="s">
        <v>81</v>
      </c>
      <c r="L170" s="11" t="s">
        <v>73</v>
      </c>
      <c r="M170" s="11" t="s">
        <v>106</v>
      </c>
      <c r="N170" s="11">
        <v>1</v>
      </c>
      <c r="O170" s="33">
        <v>340000</v>
      </c>
      <c r="P170" s="34">
        <v>0.2</v>
      </c>
      <c r="Q170" s="33">
        <v>220000</v>
      </c>
      <c r="R170" s="11" t="s">
        <v>30</v>
      </c>
      <c r="S170" s="14">
        <f t="shared" si="47"/>
        <v>272000</v>
      </c>
      <c r="T170" s="14">
        <f t="shared" si="48"/>
        <v>220000</v>
      </c>
      <c r="U170" s="14">
        <f t="shared" si="49"/>
        <v>52000</v>
      </c>
      <c r="V170" s="35">
        <f t="shared" si="50"/>
        <v>0.19117647058823528</v>
      </c>
      <c r="W170" s="14">
        <f t="shared" si="51"/>
        <v>272000</v>
      </c>
      <c r="X170" s="14">
        <f t="shared" si="52"/>
        <v>52000</v>
      </c>
      <c r="Y170" s="11">
        <f t="shared" si="53"/>
        <v>4</v>
      </c>
    </row>
    <row r="171" spans="1:25" x14ac:dyDescent="0.35">
      <c r="A171" s="11" t="s">
        <v>383</v>
      </c>
      <c r="B171" s="17">
        <v>45995</v>
      </c>
      <c r="C171" s="11">
        <f t="shared" si="45"/>
        <v>12</v>
      </c>
      <c r="D171" s="11" t="str">
        <f t="shared" si="46"/>
        <v>Q4</v>
      </c>
      <c r="E171" s="11" t="s">
        <v>164</v>
      </c>
      <c r="F171" s="11" t="s">
        <v>165</v>
      </c>
      <c r="G171" s="11" t="s">
        <v>12</v>
      </c>
      <c r="H171" s="11" t="s">
        <v>14</v>
      </c>
      <c r="I171" s="11" t="s">
        <v>16</v>
      </c>
      <c r="J171" s="11" t="s">
        <v>65</v>
      </c>
      <c r="K171" s="11" t="s">
        <v>201</v>
      </c>
      <c r="L171" s="11" t="s">
        <v>22</v>
      </c>
      <c r="M171" s="11" t="s">
        <v>159</v>
      </c>
      <c r="N171" s="11">
        <v>3</v>
      </c>
      <c r="O171" s="33">
        <v>931000</v>
      </c>
      <c r="P171" s="34">
        <v>0.1</v>
      </c>
      <c r="Q171" s="33">
        <v>600000</v>
      </c>
      <c r="R171" s="11" t="s">
        <v>98</v>
      </c>
      <c r="S171" s="14">
        <f t="shared" si="47"/>
        <v>2513700</v>
      </c>
      <c r="T171" s="14">
        <f t="shared" si="48"/>
        <v>1800000</v>
      </c>
      <c r="U171" s="14">
        <f t="shared" si="49"/>
        <v>713700</v>
      </c>
      <c r="V171" s="35">
        <f t="shared" si="50"/>
        <v>0.28392409595417112</v>
      </c>
      <c r="W171" s="14" t="str">
        <f t="shared" si="51"/>
        <v/>
      </c>
      <c r="X171" s="14" t="str">
        <f t="shared" si="52"/>
        <v/>
      </c>
      <c r="Y171" s="11">
        <f t="shared" si="53"/>
        <v>4</v>
      </c>
    </row>
    <row r="172" spans="1:25" x14ac:dyDescent="0.35">
      <c r="A172" s="11" t="s">
        <v>384</v>
      </c>
      <c r="B172" s="17">
        <v>45995</v>
      </c>
      <c r="C172" s="11">
        <f t="shared" si="45"/>
        <v>12</v>
      </c>
      <c r="D172" s="11" t="str">
        <f t="shared" si="46"/>
        <v>Q4</v>
      </c>
      <c r="E172" s="11" t="s">
        <v>175</v>
      </c>
      <c r="F172" s="11" t="s">
        <v>176</v>
      </c>
      <c r="G172" s="11" t="s">
        <v>12</v>
      </c>
      <c r="H172" s="11" t="s">
        <v>41</v>
      </c>
      <c r="I172" s="11" t="s">
        <v>80</v>
      </c>
      <c r="J172" s="11" t="s">
        <v>71</v>
      </c>
      <c r="K172" s="11" t="s">
        <v>81</v>
      </c>
      <c r="L172" s="11" t="s">
        <v>22</v>
      </c>
      <c r="M172" s="11" t="s">
        <v>57</v>
      </c>
      <c r="N172" s="11">
        <v>5</v>
      </c>
      <c r="O172" s="33">
        <v>357000</v>
      </c>
      <c r="P172" s="34">
        <v>0.1</v>
      </c>
      <c r="Q172" s="33">
        <v>220000</v>
      </c>
      <c r="R172" s="11" t="s">
        <v>30</v>
      </c>
      <c r="S172" s="14">
        <f t="shared" si="47"/>
        <v>1606500</v>
      </c>
      <c r="T172" s="14">
        <f t="shared" si="48"/>
        <v>1100000</v>
      </c>
      <c r="U172" s="14">
        <f t="shared" si="49"/>
        <v>506500</v>
      </c>
      <c r="V172" s="35">
        <f t="shared" si="50"/>
        <v>0.3152816682228447</v>
      </c>
      <c r="W172" s="14">
        <f t="shared" si="51"/>
        <v>1606500</v>
      </c>
      <c r="X172" s="14">
        <f t="shared" si="52"/>
        <v>506500</v>
      </c>
      <c r="Y172" s="11">
        <f t="shared" si="53"/>
        <v>4</v>
      </c>
    </row>
    <row r="173" spans="1:25" x14ac:dyDescent="0.35">
      <c r="A173" s="11" t="s">
        <v>385</v>
      </c>
      <c r="B173" s="17">
        <v>45997</v>
      </c>
      <c r="C173" s="11">
        <f t="shared" si="45"/>
        <v>12</v>
      </c>
      <c r="D173" s="11" t="str">
        <f t="shared" si="46"/>
        <v>Q4</v>
      </c>
      <c r="E173" s="11" t="s">
        <v>222</v>
      </c>
      <c r="F173" s="11" t="s">
        <v>223</v>
      </c>
      <c r="G173" s="11" t="s">
        <v>40</v>
      </c>
      <c r="H173" s="11" t="s">
        <v>14</v>
      </c>
      <c r="I173" s="11" t="s">
        <v>70</v>
      </c>
      <c r="J173" s="11" t="s">
        <v>43</v>
      </c>
      <c r="K173" s="11" t="s">
        <v>44</v>
      </c>
      <c r="L173" s="11" t="s">
        <v>56</v>
      </c>
      <c r="M173" s="11" t="s">
        <v>82</v>
      </c>
      <c r="N173" s="11">
        <v>1</v>
      </c>
      <c r="O173" s="33">
        <v>560000</v>
      </c>
      <c r="P173" s="34">
        <v>0.05</v>
      </c>
      <c r="Q173" s="33">
        <v>260000</v>
      </c>
      <c r="R173" s="11" t="s">
        <v>30</v>
      </c>
      <c r="S173" s="14">
        <f t="shared" si="47"/>
        <v>532000</v>
      </c>
      <c r="T173" s="14">
        <f t="shared" si="48"/>
        <v>260000</v>
      </c>
      <c r="U173" s="14">
        <f t="shared" si="49"/>
        <v>272000</v>
      </c>
      <c r="V173" s="35">
        <f t="shared" si="50"/>
        <v>0.51127819548872178</v>
      </c>
      <c r="W173" s="14">
        <f t="shared" si="51"/>
        <v>532000</v>
      </c>
      <c r="X173" s="14">
        <f t="shared" si="52"/>
        <v>272000</v>
      </c>
      <c r="Y173" s="11">
        <f t="shared" si="53"/>
        <v>6</v>
      </c>
    </row>
    <row r="174" spans="1:25" x14ac:dyDescent="0.35">
      <c r="A174" s="11" t="s">
        <v>386</v>
      </c>
      <c r="B174" s="17">
        <v>45997</v>
      </c>
      <c r="C174" s="11">
        <f t="shared" si="45"/>
        <v>12</v>
      </c>
      <c r="D174" s="11" t="str">
        <f t="shared" si="46"/>
        <v>Q4</v>
      </c>
      <c r="E174" s="11" t="s">
        <v>146</v>
      </c>
      <c r="F174" s="11" t="s">
        <v>147</v>
      </c>
      <c r="G174" s="11" t="s">
        <v>40</v>
      </c>
      <c r="H174" s="11" t="s">
        <v>41</v>
      </c>
      <c r="I174" s="11" t="s">
        <v>80</v>
      </c>
      <c r="J174" s="11" t="s">
        <v>54</v>
      </c>
      <c r="K174" s="11" t="s">
        <v>131</v>
      </c>
      <c r="L174" s="11" t="s">
        <v>22</v>
      </c>
      <c r="M174" s="11" t="s">
        <v>49</v>
      </c>
      <c r="N174" s="11">
        <v>2</v>
      </c>
      <c r="O174" s="33">
        <v>656000</v>
      </c>
      <c r="P174" s="34">
        <v>0</v>
      </c>
      <c r="Q174" s="33">
        <v>410000</v>
      </c>
      <c r="R174" s="11" t="s">
        <v>30</v>
      </c>
      <c r="S174" s="14">
        <f t="shared" si="47"/>
        <v>1312000</v>
      </c>
      <c r="T174" s="14">
        <f t="shared" si="48"/>
        <v>820000</v>
      </c>
      <c r="U174" s="14">
        <f t="shared" si="49"/>
        <v>492000</v>
      </c>
      <c r="V174" s="35">
        <f t="shared" si="50"/>
        <v>0.375</v>
      </c>
      <c r="W174" s="14">
        <f t="shared" si="51"/>
        <v>1312000</v>
      </c>
      <c r="X174" s="14">
        <f t="shared" si="52"/>
        <v>492000</v>
      </c>
      <c r="Y174" s="11">
        <f t="shared" si="53"/>
        <v>6</v>
      </c>
    </row>
    <row r="175" spans="1:25" x14ac:dyDescent="0.35">
      <c r="A175" s="11" t="s">
        <v>387</v>
      </c>
      <c r="B175" s="17">
        <v>45997</v>
      </c>
      <c r="C175" s="11">
        <f t="shared" si="45"/>
        <v>12</v>
      </c>
      <c r="D175" s="11" t="str">
        <f t="shared" si="46"/>
        <v>Q4</v>
      </c>
      <c r="E175" s="11" t="s">
        <v>95</v>
      </c>
      <c r="F175" s="11" t="s">
        <v>10</v>
      </c>
      <c r="G175" s="11" t="s">
        <v>12</v>
      </c>
      <c r="H175" s="11" t="s">
        <v>41</v>
      </c>
      <c r="I175" s="11" t="s">
        <v>42</v>
      </c>
      <c r="J175" s="11" t="s">
        <v>54</v>
      </c>
      <c r="K175" s="11" t="s">
        <v>220</v>
      </c>
      <c r="L175" s="11" t="s">
        <v>22</v>
      </c>
      <c r="M175" s="11" t="s">
        <v>57</v>
      </c>
      <c r="N175" s="11">
        <v>2</v>
      </c>
      <c r="O175" s="33">
        <v>472000</v>
      </c>
      <c r="P175" s="34">
        <v>0</v>
      </c>
      <c r="Q175" s="33">
        <v>260000</v>
      </c>
      <c r="R175" s="11" t="s">
        <v>30</v>
      </c>
      <c r="S175" s="14">
        <f t="shared" si="47"/>
        <v>944000</v>
      </c>
      <c r="T175" s="14">
        <f t="shared" si="48"/>
        <v>520000</v>
      </c>
      <c r="U175" s="14">
        <f t="shared" si="49"/>
        <v>424000</v>
      </c>
      <c r="V175" s="35">
        <f t="shared" si="50"/>
        <v>0.44915254237288138</v>
      </c>
      <c r="W175" s="14">
        <f t="shared" si="51"/>
        <v>944000</v>
      </c>
      <c r="X175" s="14">
        <f t="shared" si="52"/>
        <v>424000</v>
      </c>
      <c r="Y175" s="11">
        <f t="shared" si="53"/>
        <v>6</v>
      </c>
    </row>
    <row r="176" spans="1:25" x14ac:dyDescent="0.35">
      <c r="A176" s="11" t="s">
        <v>389</v>
      </c>
      <c r="B176" s="17">
        <v>45998</v>
      </c>
      <c r="C176" s="11">
        <f t="shared" si="45"/>
        <v>12</v>
      </c>
      <c r="D176" s="11" t="str">
        <f t="shared" si="46"/>
        <v>Q4</v>
      </c>
      <c r="E176" s="11" t="s">
        <v>271</v>
      </c>
      <c r="F176" s="11" t="s">
        <v>272</v>
      </c>
      <c r="G176" s="11" t="s">
        <v>40</v>
      </c>
      <c r="H176" s="11" t="s">
        <v>14</v>
      </c>
      <c r="I176" s="11" t="s">
        <v>135</v>
      </c>
      <c r="J176" s="11" t="s">
        <v>18</v>
      </c>
      <c r="K176" s="11" t="s">
        <v>120</v>
      </c>
      <c r="L176" s="11" t="s">
        <v>73</v>
      </c>
      <c r="M176" s="11" t="s">
        <v>106</v>
      </c>
      <c r="N176" s="11">
        <v>1</v>
      </c>
      <c r="O176" s="33">
        <v>280000</v>
      </c>
      <c r="P176" s="34">
        <v>0</v>
      </c>
      <c r="Q176" s="33">
        <v>130000</v>
      </c>
      <c r="R176" s="11" t="s">
        <v>58</v>
      </c>
      <c r="S176" s="14">
        <f t="shared" si="47"/>
        <v>280000</v>
      </c>
      <c r="T176" s="14">
        <f t="shared" si="48"/>
        <v>130000</v>
      </c>
      <c r="U176" s="14">
        <f t="shared" si="49"/>
        <v>150000</v>
      </c>
      <c r="V176" s="35">
        <f t="shared" si="50"/>
        <v>0.5357142857142857</v>
      </c>
      <c r="W176" s="14" t="str">
        <f t="shared" si="51"/>
        <v/>
      </c>
      <c r="X176" s="14" t="str">
        <f t="shared" si="52"/>
        <v/>
      </c>
      <c r="Y176" s="11">
        <f t="shared" si="53"/>
        <v>7</v>
      </c>
    </row>
    <row r="177" spans="1:25" x14ac:dyDescent="0.35">
      <c r="A177" s="11" t="s">
        <v>390</v>
      </c>
      <c r="B177" s="17">
        <v>45998</v>
      </c>
      <c r="C177" s="11">
        <f t="shared" si="45"/>
        <v>12</v>
      </c>
      <c r="D177" s="11" t="str">
        <f t="shared" si="46"/>
        <v>Q4</v>
      </c>
      <c r="E177" s="11" t="s">
        <v>185</v>
      </c>
      <c r="F177" s="11" t="s">
        <v>186</v>
      </c>
      <c r="G177" s="11" t="s">
        <v>40</v>
      </c>
      <c r="H177" s="11" t="s">
        <v>41</v>
      </c>
      <c r="I177" s="11" t="s">
        <v>42</v>
      </c>
      <c r="J177" s="11" t="s">
        <v>65</v>
      </c>
      <c r="K177" s="11" t="s">
        <v>262</v>
      </c>
      <c r="L177" s="11" t="s">
        <v>56</v>
      </c>
      <c r="M177" s="11" t="s">
        <v>57</v>
      </c>
      <c r="N177" s="11">
        <v>2</v>
      </c>
      <c r="O177" s="33">
        <v>2400000</v>
      </c>
      <c r="P177" s="34">
        <v>0.2</v>
      </c>
      <c r="Q177" s="33">
        <v>1550000</v>
      </c>
      <c r="R177" s="11" t="s">
        <v>30</v>
      </c>
      <c r="S177" s="14">
        <f t="shared" si="47"/>
        <v>3840000</v>
      </c>
      <c r="T177" s="14">
        <f t="shared" si="48"/>
        <v>3100000</v>
      </c>
      <c r="U177" s="14">
        <f t="shared" si="49"/>
        <v>740000</v>
      </c>
      <c r="V177" s="35">
        <f t="shared" si="50"/>
        <v>0.19270833333333334</v>
      </c>
      <c r="W177" s="14">
        <f t="shared" si="51"/>
        <v>3840000</v>
      </c>
      <c r="X177" s="14">
        <f t="shared" si="52"/>
        <v>740000</v>
      </c>
      <c r="Y177" s="11">
        <f t="shared" si="53"/>
        <v>7</v>
      </c>
    </row>
    <row r="178" spans="1:25" x14ac:dyDescent="0.35">
      <c r="A178" s="11" t="s">
        <v>391</v>
      </c>
      <c r="B178" s="17">
        <v>45999</v>
      </c>
      <c r="C178" s="11">
        <f t="shared" si="45"/>
        <v>12</v>
      </c>
      <c r="D178" s="11" t="str">
        <f t="shared" si="46"/>
        <v>Q4</v>
      </c>
      <c r="E178" s="11" t="s">
        <v>133</v>
      </c>
      <c r="F178" s="11" t="s">
        <v>134</v>
      </c>
      <c r="G178" s="11" t="s">
        <v>40</v>
      </c>
      <c r="H178" s="11" t="s">
        <v>14</v>
      </c>
      <c r="I178" s="11" t="s">
        <v>135</v>
      </c>
      <c r="J178" s="11" t="s">
        <v>18</v>
      </c>
      <c r="K178" s="11" t="s">
        <v>93</v>
      </c>
      <c r="L178" s="11" t="s">
        <v>56</v>
      </c>
      <c r="M178" s="11" t="s">
        <v>159</v>
      </c>
      <c r="N178" s="11">
        <v>1</v>
      </c>
      <c r="O178" s="33">
        <v>1425000</v>
      </c>
      <c r="P178" s="34">
        <v>0.1</v>
      </c>
      <c r="Q178" s="33">
        <v>800000</v>
      </c>
      <c r="R178" s="11" t="s">
        <v>30</v>
      </c>
      <c r="S178" s="14">
        <f t="shared" si="47"/>
        <v>1282500</v>
      </c>
      <c r="T178" s="14">
        <f t="shared" si="48"/>
        <v>800000</v>
      </c>
      <c r="U178" s="14">
        <f t="shared" si="49"/>
        <v>482500</v>
      </c>
      <c r="V178" s="35">
        <f t="shared" si="50"/>
        <v>0.37621832358674462</v>
      </c>
      <c r="W178" s="14">
        <f t="shared" si="51"/>
        <v>1282500</v>
      </c>
      <c r="X178" s="14">
        <f t="shared" si="52"/>
        <v>482500</v>
      </c>
      <c r="Y178" s="11">
        <f t="shared" si="53"/>
        <v>1</v>
      </c>
    </row>
    <row r="179" spans="1:25" x14ac:dyDescent="0.35">
      <c r="A179" s="11" t="s">
        <v>392</v>
      </c>
      <c r="B179" s="17">
        <v>46001</v>
      </c>
      <c r="C179" s="11">
        <f t="shared" si="45"/>
        <v>12</v>
      </c>
      <c r="D179" s="11" t="str">
        <f t="shared" si="46"/>
        <v>Q4</v>
      </c>
      <c r="E179" s="11" t="s">
        <v>142</v>
      </c>
      <c r="F179" s="11" t="s">
        <v>143</v>
      </c>
      <c r="G179" s="11" t="s">
        <v>12</v>
      </c>
      <c r="H179" s="11" t="s">
        <v>41</v>
      </c>
      <c r="I179" s="11" t="s">
        <v>42</v>
      </c>
      <c r="J179" s="11" t="s">
        <v>65</v>
      </c>
      <c r="K179" s="11" t="s">
        <v>66</v>
      </c>
      <c r="L179" s="11" t="s">
        <v>22</v>
      </c>
      <c r="M179" s="11" t="s">
        <v>106</v>
      </c>
      <c r="N179" s="11">
        <v>2</v>
      </c>
      <c r="O179" s="33">
        <v>520000</v>
      </c>
      <c r="P179" s="34">
        <v>0.2</v>
      </c>
      <c r="Q179" s="33">
        <v>310000</v>
      </c>
      <c r="R179" s="11" t="s">
        <v>30</v>
      </c>
      <c r="S179" s="14">
        <f t="shared" si="47"/>
        <v>832000</v>
      </c>
      <c r="T179" s="14">
        <f t="shared" si="48"/>
        <v>620000</v>
      </c>
      <c r="U179" s="14">
        <f t="shared" si="49"/>
        <v>212000</v>
      </c>
      <c r="V179" s="35">
        <f t="shared" si="50"/>
        <v>0.25480769230769229</v>
      </c>
      <c r="W179" s="14">
        <f t="shared" si="51"/>
        <v>832000</v>
      </c>
      <c r="X179" s="14">
        <f t="shared" si="52"/>
        <v>212000</v>
      </c>
      <c r="Y179" s="11">
        <f t="shared" si="53"/>
        <v>3</v>
      </c>
    </row>
    <row r="180" spans="1:25" x14ac:dyDescent="0.35">
      <c r="A180" s="11" t="s">
        <v>393</v>
      </c>
      <c r="B180" s="17">
        <v>46002</v>
      </c>
      <c r="C180" s="11">
        <f t="shared" si="45"/>
        <v>12</v>
      </c>
      <c r="D180" s="11" t="str">
        <f t="shared" si="46"/>
        <v>Q4</v>
      </c>
      <c r="E180" s="11" t="s">
        <v>312</v>
      </c>
      <c r="F180" s="11" t="s">
        <v>313</v>
      </c>
      <c r="G180" s="11" t="s">
        <v>12</v>
      </c>
      <c r="H180" s="11" t="s">
        <v>14</v>
      </c>
      <c r="I180" s="11" t="s">
        <v>135</v>
      </c>
      <c r="J180" s="11" t="s">
        <v>18</v>
      </c>
      <c r="K180" s="11" t="s">
        <v>20</v>
      </c>
      <c r="L180" s="11" t="s">
        <v>73</v>
      </c>
      <c r="M180" s="11" t="s">
        <v>49</v>
      </c>
      <c r="N180" s="11">
        <v>10</v>
      </c>
      <c r="O180" s="33">
        <v>1200000</v>
      </c>
      <c r="P180" s="34">
        <v>0</v>
      </c>
      <c r="Q180" s="33">
        <v>620000</v>
      </c>
      <c r="R180" s="11" t="s">
        <v>30</v>
      </c>
      <c r="S180" s="14">
        <f t="shared" si="47"/>
        <v>12000000</v>
      </c>
      <c r="T180" s="14">
        <f t="shared" si="48"/>
        <v>6200000</v>
      </c>
      <c r="U180" s="14">
        <f t="shared" si="49"/>
        <v>5800000</v>
      </c>
      <c r="V180" s="35">
        <f t="shared" si="50"/>
        <v>0.48333333333333334</v>
      </c>
      <c r="W180" s="14">
        <f t="shared" si="51"/>
        <v>12000000</v>
      </c>
      <c r="X180" s="14">
        <f t="shared" si="52"/>
        <v>5800000</v>
      </c>
      <c r="Y180" s="11">
        <f t="shared" si="53"/>
        <v>4</v>
      </c>
    </row>
    <row r="181" spans="1:25" x14ac:dyDescent="0.35">
      <c r="A181" s="11" t="s">
        <v>394</v>
      </c>
      <c r="B181" s="17">
        <v>46005</v>
      </c>
      <c r="C181" s="11">
        <f t="shared" si="45"/>
        <v>12</v>
      </c>
      <c r="D181" s="11" t="str">
        <f t="shared" si="46"/>
        <v>Q4</v>
      </c>
      <c r="E181" s="11" t="s">
        <v>222</v>
      </c>
      <c r="F181" s="11" t="s">
        <v>223</v>
      </c>
      <c r="G181" s="11" t="s">
        <v>40</v>
      </c>
      <c r="H181" s="11" t="s">
        <v>14</v>
      </c>
      <c r="I181" s="11" t="s">
        <v>70</v>
      </c>
      <c r="J181" s="11" t="s">
        <v>65</v>
      </c>
      <c r="K181" s="11" t="s">
        <v>201</v>
      </c>
      <c r="L181" s="11" t="s">
        <v>56</v>
      </c>
      <c r="M181" s="11" t="s">
        <v>492</v>
      </c>
      <c r="N181" s="11">
        <v>1</v>
      </c>
      <c r="O181" s="33">
        <v>980000</v>
      </c>
      <c r="P181" s="34">
        <v>0.05</v>
      </c>
      <c r="Q181" s="33">
        <v>600000</v>
      </c>
      <c r="R181" s="11" t="s">
        <v>98</v>
      </c>
      <c r="S181" s="14">
        <f t="shared" si="47"/>
        <v>931000</v>
      </c>
      <c r="T181" s="14">
        <f t="shared" si="48"/>
        <v>600000</v>
      </c>
      <c r="U181" s="14">
        <f t="shared" si="49"/>
        <v>331000</v>
      </c>
      <c r="V181" s="35">
        <f t="shared" si="50"/>
        <v>0.35553168635875404</v>
      </c>
      <c r="W181" s="14" t="str">
        <f t="shared" si="51"/>
        <v/>
      </c>
      <c r="X181" s="14" t="str">
        <f t="shared" si="52"/>
        <v/>
      </c>
      <c r="Y181" s="11">
        <f t="shared" si="53"/>
        <v>7</v>
      </c>
    </row>
    <row r="182" spans="1:25" x14ac:dyDescent="0.35">
      <c r="A182" s="11" t="s">
        <v>395</v>
      </c>
      <c r="B182" s="17">
        <v>46007</v>
      </c>
      <c r="C182" s="11">
        <f t="shared" si="45"/>
        <v>12</v>
      </c>
      <c r="D182" s="11" t="str">
        <f t="shared" si="46"/>
        <v>Q4</v>
      </c>
      <c r="E182" s="11" t="s">
        <v>100</v>
      </c>
      <c r="F182" s="11" t="s">
        <v>101</v>
      </c>
      <c r="G182" s="11" t="s">
        <v>40</v>
      </c>
      <c r="H182" s="11" t="s">
        <v>14</v>
      </c>
      <c r="I182" s="11" t="s">
        <v>16</v>
      </c>
      <c r="J182" s="11" t="s">
        <v>18</v>
      </c>
      <c r="K182" s="11" t="s">
        <v>93</v>
      </c>
      <c r="L182" s="11" t="s">
        <v>56</v>
      </c>
      <c r="M182" s="11" t="s">
        <v>88</v>
      </c>
      <c r="N182" s="11">
        <v>2</v>
      </c>
      <c r="O182" s="33">
        <v>1425000</v>
      </c>
      <c r="P182" s="34">
        <v>0.1</v>
      </c>
      <c r="Q182" s="33">
        <v>800000</v>
      </c>
      <c r="R182" s="11" t="s">
        <v>30</v>
      </c>
      <c r="S182" s="14">
        <f t="shared" si="47"/>
        <v>2565000</v>
      </c>
      <c r="T182" s="14">
        <f t="shared" si="48"/>
        <v>1600000</v>
      </c>
      <c r="U182" s="14">
        <f t="shared" si="49"/>
        <v>965000</v>
      </c>
      <c r="V182" s="35">
        <f t="shared" si="50"/>
        <v>0.37621832358674462</v>
      </c>
      <c r="W182" s="14">
        <f t="shared" si="51"/>
        <v>2565000</v>
      </c>
      <c r="X182" s="14">
        <f t="shared" si="52"/>
        <v>965000</v>
      </c>
      <c r="Y182" s="11">
        <f t="shared" si="53"/>
        <v>2</v>
      </c>
    </row>
    <row r="183" spans="1:25" x14ac:dyDescent="0.35">
      <c r="A183" s="11" t="s">
        <v>396</v>
      </c>
      <c r="B183" s="17">
        <v>46008</v>
      </c>
      <c r="C183" s="11">
        <f t="shared" si="45"/>
        <v>12</v>
      </c>
      <c r="D183" s="11" t="str">
        <f t="shared" si="46"/>
        <v>Q4</v>
      </c>
      <c r="E183" s="11" t="s">
        <v>193</v>
      </c>
      <c r="F183" s="11" t="s">
        <v>194</v>
      </c>
      <c r="G183" s="11" t="s">
        <v>12</v>
      </c>
      <c r="H183" s="11" t="s">
        <v>14</v>
      </c>
      <c r="I183" s="11" t="s">
        <v>70</v>
      </c>
      <c r="J183" s="11" t="s">
        <v>71</v>
      </c>
      <c r="K183" s="11" t="s">
        <v>87</v>
      </c>
      <c r="L183" s="11" t="s">
        <v>73</v>
      </c>
      <c r="M183" s="11" t="s">
        <v>88</v>
      </c>
      <c r="N183" s="11">
        <v>6</v>
      </c>
      <c r="O183" s="33">
        <v>380000</v>
      </c>
      <c r="P183" s="34">
        <v>0.05</v>
      </c>
      <c r="Q183" s="33">
        <v>250000</v>
      </c>
      <c r="R183" s="11" t="s">
        <v>30</v>
      </c>
      <c r="S183" s="14">
        <f t="shared" si="47"/>
        <v>2166000</v>
      </c>
      <c r="T183" s="14">
        <f t="shared" si="48"/>
        <v>1500000</v>
      </c>
      <c r="U183" s="14">
        <f t="shared" si="49"/>
        <v>666000</v>
      </c>
      <c r="V183" s="35">
        <f t="shared" si="50"/>
        <v>0.30747922437673131</v>
      </c>
      <c r="W183" s="14">
        <f t="shared" si="51"/>
        <v>2166000</v>
      </c>
      <c r="X183" s="14">
        <f t="shared" si="52"/>
        <v>666000</v>
      </c>
      <c r="Y183" s="11">
        <f t="shared" si="53"/>
        <v>3</v>
      </c>
    </row>
    <row r="184" spans="1:25" x14ac:dyDescent="0.35">
      <c r="A184" s="11" t="s">
        <v>397</v>
      </c>
      <c r="B184" s="17">
        <v>46008</v>
      </c>
      <c r="C184" s="11">
        <f t="shared" si="45"/>
        <v>12</v>
      </c>
      <c r="D184" s="11" t="str">
        <f t="shared" si="46"/>
        <v>Q4</v>
      </c>
      <c r="E184" s="11" t="s">
        <v>68</v>
      </c>
      <c r="F184" s="11" t="s">
        <v>69</v>
      </c>
      <c r="G184" s="11" t="s">
        <v>40</v>
      </c>
      <c r="H184" s="11" t="s">
        <v>14</v>
      </c>
      <c r="I184" s="11" t="s">
        <v>70</v>
      </c>
      <c r="J184" s="11" t="s">
        <v>65</v>
      </c>
      <c r="K184" s="11" t="s">
        <v>140</v>
      </c>
      <c r="L184" s="11" t="s">
        <v>56</v>
      </c>
      <c r="M184" s="11" t="s">
        <v>106</v>
      </c>
      <c r="N184" s="11">
        <v>1</v>
      </c>
      <c r="O184" s="33">
        <v>1600000</v>
      </c>
      <c r="P184" s="34">
        <v>0</v>
      </c>
      <c r="Q184" s="33">
        <v>1000000</v>
      </c>
      <c r="R184" s="11" t="s">
        <v>30</v>
      </c>
      <c r="S184" s="14">
        <f t="shared" si="47"/>
        <v>1600000</v>
      </c>
      <c r="T184" s="14">
        <f t="shared" si="48"/>
        <v>1000000</v>
      </c>
      <c r="U184" s="14">
        <f t="shared" si="49"/>
        <v>600000</v>
      </c>
      <c r="V184" s="35">
        <f t="shared" si="50"/>
        <v>0.375</v>
      </c>
      <c r="W184" s="14">
        <f t="shared" si="51"/>
        <v>1600000</v>
      </c>
      <c r="X184" s="14">
        <f t="shared" si="52"/>
        <v>600000</v>
      </c>
      <c r="Y184" s="11">
        <f t="shared" si="53"/>
        <v>3</v>
      </c>
    </row>
    <row r="185" spans="1:25" x14ac:dyDescent="0.35">
      <c r="A185" s="11" t="s">
        <v>398</v>
      </c>
      <c r="B185" s="17">
        <v>46008</v>
      </c>
      <c r="C185" s="11">
        <f t="shared" si="45"/>
        <v>12</v>
      </c>
      <c r="D185" s="11" t="str">
        <f t="shared" si="46"/>
        <v>Q4</v>
      </c>
      <c r="E185" s="11" t="s">
        <v>226</v>
      </c>
      <c r="F185" s="11" t="s">
        <v>227</v>
      </c>
      <c r="G185" s="11" t="s">
        <v>40</v>
      </c>
      <c r="H185" s="11" t="s">
        <v>41</v>
      </c>
      <c r="I185" s="11" t="s">
        <v>42</v>
      </c>
      <c r="J185" s="11" t="s">
        <v>43</v>
      </c>
      <c r="K185" s="11" t="s">
        <v>127</v>
      </c>
      <c r="L185" s="11" t="s">
        <v>22</v>
      </c>
      <c r="M185" s="11" t="s">
        <v>82</v>
      </c>
      <c r="N185" s="11">
        <v>1</v>
      </c>
      <c r="O185" s="33">
        <v>320000</v>
      </c>
      <c r="P185" s="34">
        <v>0.05</v>
      </c>
      <c r="Q185" s="33">
        <v>150000</v>
      </c>
      <c r="R185" s="11" t="s">
        <v>30</v>
      </c>
      <c r="S185" s="14">
        <f t="shared" si="47"/>
        <v>304000</v>
      </c>
      <c r="T185" s="14">
        <f t="shared" si="48"/>
        <v>150000</v>
      </c>
      <c r="U185" s="14">
        <f t="shared" si="49"/>
        <v>154000</v>
      </c>
      <c r="V185" s="35">
        <f t="shared" si="50"/>
        <v>0.50657894736842102</v>
      </c>
      <c r="W185" s="14">
        <f t="shared" si="51"/>
        <v>304000</v>
      </c>
      <c r="X185" s="14">
        <f t="shared" si="52"/>
        <v>154000</v>
      </c>
      <c r="Y185" s="11">
        <f t="shared" si="53"/>
        <v>3</v>
      </c>
    </row>
    <row r="186" spans="1:25" x14ac:dyDescent="0.35">
      <c r="A186" s="11" t="s">
        <v>399</v>
      </c>
      <c r="B186" s="17">
        <v>46009</v>
      </c>
      <c r="C186" s="11">
        <f t="shared" si="45"/>
        <v>12</v>
      </c>
      <c r="D186" s="11" t="str">
        <f t="shared" si="46"/>
        <v>Q4</v>
      </c>
      <c r="E186" s="11" t="s">
        <v>8</v>
      </c>
      <c r="F186" s="11" t="s">
        <v>129</v>
      </c>
      <c r="G186" s="11" t="s">
        <v>40</v>
      </c>
      <c r="H186" s="11" t="s">
        <v>63</v>
      </c>
      <c r="I186" s="11" t="s">
        <v>130</v>
      </c>
      <c r="J186" s="11" t="s">
        <v>18</v>
      </c>
      <c r="K186" s="11" t="s">
        <v>120</v>
      </c>
      <c r="L186" s="11" t="s">
        <v>22</v>
      </c>
      <c r="M186" s="11" t="s">
        <v>88</v>
      </c>
      <c r="N186" s="11">
        <v>1</v>
      </c>
      <c r="O186" s="33">
        <v>280000</v>
      </c>
      <c r="P186" s="34">
        <v>0</v>
      </c>
      <c r="Q186" s="33">
        <v>130000</v>
      </c>
      <c r="R186" s="11" t="s">
        <v>30</v>
      </c>
      <c r="S186" s="14">
        <f t="shared" si="47"/>
        <v>280000</v>
      </c>
      <c r="T186" s="14">
        <f t="shared" si="48"/>
        <v>130000</v>
      </c>
      <c r="U186" s="14">
        <f t="shared" si="49"/>
        <v>150000</v>
      </c>
      <c r="V186" s="35">
        <f t="shared" si="50"/>
        <v>0.5357142857142857</v>
      </c>
      <c r="W186" s="14">
        <f t="shared" si="51"/>
        <v>280000</v>
      </c>
      <c r="X186" s="14">
        <f t="shared" si="52"/>
        <v>150000</v>
      </c>
      <c r="Y186" s="11">
        <f t="shared" si="53"/>
        <v>4</v>
      </c>
    </row>
    <row r="187" spans="1:25" x14ac:dyDescent="0.35">
      <c r="A187" s="11" t="s">
        <v>400</v>
      </c>
      <c r="B187" s="17">
        <v>46009</v>
      </c>
      <c r="C187" s="11">
        <f t="shared" si="45"/>
        <v>12</v>
      </c>
      <c r="D187" s="11" t="str">
        <f t="shared" si="46"/>
        <v>Q4</v>
      </c>
      <c r="E187" s="11" t="s">
        <v>317</v>
      </c>
      <c r="F187" s="11" t="s">
        <v>318</v>
      </c>
      <c r="G187" s="11" t="s">
        <v>40</v>
      </c>
      <c r="H187" s="11" t="s">
        <v>41</v>
      </c>
      <c r="I187" s="11" t="s">
        <v>80</v>
      </c>
      <c r="J187" s="11" t="s">
        <v>18</v>
      </c>
      <c r="K187" s="11" t="s">
        <v>93</v>
      </c>
      <c r="L187" s="11" t="s">
        <v>73</v>
      </c>
      <c r="M187" s="11" t="s">
        <v>24</v>
      </c>
      <c r="N187" s="11">
        <v>2</v>
      </c>
      <c r="O187" s="33">
        <v>1500000</v>
      </c>
      <c r="P187" s="34">
        <v>0</v>
      </c>
      <c r="Q187" s="33">
        <v>800000</v>
      </c>
      <c r="R187" s="11" t="s">
        <v>30</v>
      </c>
      <c r="S187" s="14">
        <f t="shared" si="47"/>
        <v>3000000</v>
      </c>
      <c r="T187" s="14">
        <f t="shared" si="48"/>
        <v>1600000</v>
      </c>
      <c r="U187" s="14">
        <f t="shared" si="49"/>
        <v>1400000</v>
      </c>
      <c r="V187" s="35">
        <f t="shared" si="50"/>
        <v>0.46666666666666667</v>
      </c>
      <c r="W187" s="14">
        <f t="shared" si="51"/>
        <v>3000000</v>
      </c>
      <c r="X187" s="14">
        <f t="shared" si="52"/>
        <v>1400000</v>
      </c>
      <c r="Y187" s="11">
        <f t="shared" si="53"/>
        <v>4</v>
      </c>
    </row>
    <row r="188" spans="1:25" x14ac:dyDescent="0.35">
      <c r="A188" s="11" t="s">
        <v>401</v>
      </c>
      <c r="B188" s="17">
        <v>46010</v>
      </c>
      <c r="C188" s="11">
        <f t="shared" si="45"/>
        <v>12</v>
      </c>
      <c r="D188" s="11" t="str">
        <f t="shared" si="46"/>
        <v>Q4</v>
      </c>
      <c r="E188" s="11" t="s">
        <v>402</v>
      </c>
      <c r="F188" s="11" t="s">
        <v>403</v>
      </c>
      <c r="G188" s="11" t="s">
        <v>40</v>
      </c>
      <c r="H188" s="11" t="s">
        <v>41</v>
      </c>
      <c r="I188" s="11" t="s">
        <v>86</v>
      </c>
      <c r="J188" s="11" t="s">
        <v>18</v>
      </c>
      <c r="K188" s="11" t="s">
        <v>96</v>
      </c>
      <c r="L188" s="11" t="s">
        <v>56</v>
      </c>
      <c r="M188" s="11" t="s">
        <v>24</v>
      </c>
      <c r="N188" s="11">
        <v>3</v>
      </c>
      <c r="O188" s="33">
        <v>750000</v>
      </c>
      <c r="P188" s="34">
        <v>0</v>
      </c>
      <c r="Q188" s="33">
        <v>390000</v>
      </c>
      <c r="R188" s="11" t="s">
        <v>30</v>
      </c>
      <c r="S188" s="14">
        <f t="shared" si="47"/>
        <v>2250000</v>
      </c>
      <c r="T188" s="14">
        <f t="shared" si="48"/>
        <v>1170000</v>
      </c>
      <c r="U188" s="14">
        <f t="shared" si="49"/>
        <v>1080000</v>
      </c>
      <c r="V188" s="35">
        <f t="shared" si="50"/>
        <v>0.48</v>
      </c>
      <c r="W188" s="14">
        <f t="shared" si="51"/>
        <v>2250000</v>
      </c>
      <c r="X188" s="14">
        <f t="shared" si="52"/>
        <v>1080000</v>
      </c>
      <c r="Y188" s="11">
        <f t="shared" si="53"/>
        <v>5</v>
      </c>
    </row>
    <row r="189" spans="1:25" x14ac:dyDescent="0.35">
      <c r="A189" s="11" t="s">
        <v>404</v>
      </c>
      <c r="B189" s="17">
        <v>46010</v>
      </c>
      <c r="C189" s="11">
        <f t="shared" si="45"/>
        <v>12</v>
      </c>
      <c r="D189" s="11" t="str">
        <f t="shared" si="46"/>
        <v>Q4</v>
      </c>
      <c r="E189" s="11" t="s">
        <v>118</v>
      </c>
      <c r="F189" s="11" t="s">
        <v>119</v>
      </c>
      <c r="G189" s="11" t="s">
        <v>40</v>
      </c>
      <c r="H189" s="11" t="s">
        <v>14</v>
      </c>
      <c r="I189" s="11" t="s">
        <v>16</v>
      </c>
      <c r="J189" s="11" t="s">
        <v>18</v>
      </c>
      <c r="K189" s="11" t="s">
        <v>120</v>
      </c>
      <c r="L189" s="11" t="s">
        <v>22</v>
      </c>
      <c r="M189" s="11" t="s">
        <v>106</v>
      </c>
      <c r="N189" s="11">
        <v>3</v>
      </c>
      <c r="O189" s="33">
        <v>294000</v>
      </c>
      <c r="P189" s="34">
        <v>0.2</v>
      </c>
      <c r="Q189" s="33">
        <v>130000</v>
      </c>
      <c r="R189" s="11" t="s">
        <v>30</v>
      </c>
      <c r="S189" s="14">
        <f t="shared" si="47"/>
        <v>705600</v>
      </c>
      <c r="T189" s="14">
        <f t="shared" si="48"/>
        <v>390000</v>
      </c>
      <c r="U189" s="14">
        <f t="shared" si="49"/>
        <v>315600</v>
      </c>
      <c r="V189" s="35">
        <f t="shared" si="50"/>
        <v>0.44727891156462585</v>
      </c>
      <c r="W189" s="14">
        <f t="shared" si="51"/>
        <v>705600</v>
      </c>
      <c r="X189" s="14">
        <f t="shared" si="52"/>
        <v>315600</v>
      </c>
      <c r="Y189" s="11">
        <f t="shared" si="53"/>
        <v>5</v>
      </c>
    </row>
    <row r="190" spans="1:25" x14ac:dyDescent="0.35">
      <c r="A190" s="11" t="s">
        <v>405</v>
      </c>
      <c r="B190" s="17">
        <v>46011</v>
      </c>
      <c r="C190" s="11">
        <f t="shared" si="45"/>
        <v>12</v>
      </c>
      <c r="D190" s="11" t="str">
        <f t="shared" si="46"/>
        <v>Q4</v>
      </c>
      <c r="E190" s="11" t="s">
        <v>292</v>
      </c>
      <c r="F190" s="11" t="s">
        <v>293</v>
      </c>
      <c r="G190" s="11" t="s">
        <v>40</v>
      </c>
      <c r="H190" s="11" t="s">
        <v>14</v>
      </c>
      <c r="I190" s="11" t="s">
        <v>70</v>
      </c>
      <c r="J190" s="11" t="s">
        <v>18</v>
      </c>
      <c r="K190" s="11" t="s">
        <v>96</v>
      </c>
      <c r="L190" s="11" t="s">
        <v>56</v>
      </c>
      <c r="M190" s="11" t="s">
        <v>57</v>
      </c>
      <c r="N190" s="11">
        <v>1</v>
      </c>
      <c r="O190" s="33">
        <v>750000</v>
      </c>
      <c r="P190" s="34">
        <v>0.1</v>
      </c>
      <c r="Q190" s="33">
        <v>390000</v>
      </c>
      <c r="R190" s="11" t="s">
        <v>98</v>
      </c>
      <c r="S190" s="14">
        <f t="shared" si="47"/>
        <v>675000</v>
      </c>
      <c r="T190" s="14">
        <f t="shared" si="48"/>
        <v>390000</v>
      </c>
      <c r="U190" s="14">
        <f t="shared" si="49"/>
        <v>285000</v>
      </c>
      <c r="V190" s="35">
        <f t="shared" si="50"/>
        <v>0.42222222222222222</v>
      </c>
      <c r="W190" s="14" t="str">
        <f t="shared" si="51"/>
        <v/>
      </c>
      <c r="X190" s="14" t="str">
        <f t="shared" si="52"/>
        <v/>
      </c>
      <c r="Y190" s="11">
        <f t="shared" si="53"/>
        <v>6</v>
      </c>
    </row>
    <row r="191" spans="1:25" x14ac:dyDescent="0.35">
      <c r="A191" s="11" t="s">
        <v>406</v>
      </c>
      <c r="B191" s="17">
        <v>46012</v>
      </c>
      <c r="C191" s="11">
        <f t="shared" si="45"/>
        <v>12</v>
      </c>
      <c r="D191" s="11" t="str">
        <f t="shared" si="46"/>
        <v>Q4</v>
      </c>
      <c r="E191" s="11" t="s">
        <v>341</v>
      </c>
      <c r="F191" s="11" t="s">
        <v>342</v>
      </c>
      <c r="G191" s="11" t="s">
        <v>40</v>
      </c>
      <c r="H191" s="11" t="s">
        <v>14</v>
      </c>
      <c r="I191" s="11" t="s">
        <v>16</v>
      </c>
      <c r="J191" s="11" t="s">
        <v>54</v>
      </c>
      <c r="K191" s="11" t="s">
        <v>75</v>
      </c>
      <c r="L191" s="11" t="s">
        <v>97</v>
      </c>
      <c r="M191" s="11" t="s">
        <v>106</v>
      </c>
      <c r="N191" s="11">
        <v>1</v>
      </c>
      <c r="O191" s="33">
        <v>1995000</v>
      </c>
      <c r="P191" s="34">
        <v>0</v>
      </c>
      <c r="Q191" s="33">
        <v>1200000</v>
      </c>
      <c r="R191" s="11" t="s">
        <v>58</v>
      </c>
      <c r="S191" s="14">
        <f t="shared" si="47"/>
        <v>1995000</v>
      </c>
      <c r="T191" s="14">
        <f t="shared" si="48"/>
        <v>1200000</v>
      </c>
      <c r="U191" s="14">
        <f t="shared" si="49"/>
        <v>795000</v>
      </c>
      <c r="V191" s="35">
        <f t="shared" si="50"/>
        <v>0.39849624060150374</v>
      </c>
      <c r="W191" s="14" t="str">
        <f t="shared" si="51"/>
        <v/>
      </c>
      <c r="X191" s="14" t="str">
        <f t="shared" si="52"/>
        <v/>
      </c>
      <c r="Y191" s="11">
        <f t="shared" si="53"/>
        <v>7</v>
      </c>
    </row>
    <row r="192" spans="1:25" x14ac:dyDescent="0.35">
      <c r="A192" s="11" t="s">
        <v>408</v>
      </c>
      <c r="B192" s="17">
        <v>46012</v>
      </c>
      <c r="C192" s="11">
        <f t="shared" si="45"/>
        <v>12</v>
      </c>
      <c r="D192" s="11" t="str">
        <f t="shared" si="46"/>
        <v>Q4</v>
      </c>
      <c r="E192" s="11" t="s">
        <v>146</v>
      </c>
      <c r="F192" s="11" t="s">
        <v>147</v>
      </c>
      <c r="G192" s="11" t="s">
        <v>40</v>
      </c>
      <c r="H192" s="11" t="s">
        <v>41</v>
      </c>
      <c r="I192" s="11" t="s">
        <v>80</v>
      </c>
      <c r="J192" s="11" t="s">
        <v>65</v>
      </c>
      <c r="K192" s="11" t="s">
        <v>201</v>
      </c>
      <c r="L192" s="11" t="s">
        <v>73</v>
      </c>
      <c r="M192" s="11" t="s">
        <v>159</v>
      </c>
      <c r="N192" s="11">
        <v>1</v>
      </c>
      <c r="O192" s="33">
        <v>980000</v>
      </c>
      <c r="P192" s="34">
        <v>0.1</v>
      </c>
      <c r="Q192" s="33">
        <v>600000</v>
      </c>
      <c r="R192" s="11" t="s">
        <v>30</v>
      </c>
      <c r="S192" s="14">
        <f t="shared" si="47"/>
        <v>882000</v>
      </c>
      <c r="T192" s="14">
        <f t="shared" si="48"/>
        <v>600000</v>
      </c>
      <c r="U192" s="14">
        <f t="shared" si="49"/>
        <v>282000</v>
      </c>
      <c r="V192" s="35">
        <f t="shared" si="50"/>
        <v>0.31972789115646261</v>
      </c>
      <c r="W192" s="14">
        <f t="shared" si="51"/>
        <v>882000</v>
      </c>
      <c r="X192" s="14">
        <f t="shared" si="52"/>
        <v>282000</v>
      </c>
      <c r="Y192" s="11">
        <f t="shared" si="53"/>
        <v>7</v>
      </c>
    </row>
    <row r="193" spans="1:25" x14ac:dyDescent="0.35">
      <c r="A193" s="11" t="s">
        <v>409</v>
      </c>
      <c r="B193" s="17">
        <v>46012</v>
      </c>
      <c r="C193" s="11">
        <f t="shared" si="45"/>
        <v>12</v>
      </c>
      <c r="D193" s="11" t="str">
        <f t="shared" si="46"/>
        <v>Q4</v>
      </c>
      <c r="E193" s="11" t="s">
        <v>167</v>
      </c>
      <c r="F193" s="11" t="s">
        <v>168</v>
      </c>
      <c r="G193" s="11" t="s">
        <v>40</v>
      </c>
      <c r="H193" s="11" t="s">
        <v>63</v>
      </c>
      <c r="I193" s="11" t="s">
        <v>92</v>
      </c>
      <c r="J193" s="11" t="s">
        <v>18</v>
      </c>
      <c r="K193" s="11" t="s">
        <v>96</v>
      </c>
      <c r="L193" s="11" t="s">
        <v>56</v>
      </c>
      <c r="M193" s="11" t="s">
        <v>24</v>
      </c>
      <c r="N193" s="11">
        <v>4</v>
      </c>
      <c r="O193" s="33">
        <v>750000</v>
      </c>
      <c r="P193" s="34">
        <v>0.15</v>
      </c>
      <c r="Q193" s="33">
        <v>390000</v>
      </c>
      <c r="R193" s="11" t="s">
        <v>30</v>
      </c>
      <c r="S193" s="14">
        <f t="shared" si="47"/>
        <v>2550000</v>
      </c>
      <c r="T193" s="14">
        <f t="shared" si="48"/>
        <v>1560000</v>
      </c>
      <c r="U193" s="14">
        <f t="shared" si="49"/>
        <v>990000</v>
      </c>
      <c r="V193" s="35">
        <f t="shared" si="50"/>
        <v>0.38823529411764707</v>
      </c>
      <c r="W193" s="14">
        <f t="shared" si="51"/>
        <v>2550000</v>
      </c>
      <c r="X193" s="14">
        <f t="shared" si="52"/>
        <v>990000</v>
      </c>
      <c r="Y193" s="11">
        <f t="shared" si="53"/>
        <v>7</v>
      </c>
    </row>
    <row r="194" spans="1:25" x14ac:dyDescent="0.35">
      <c r="A194" s="11" t="s">
        <v>410</v>
      </c>
      <c r="B194" s="17">
        <v>46013</v>
      </c>
      <c r="C194" s="11">
        <f t="shared" ref="C194:C225" si="54">MONTH(B194)</f>
        <v>12</v>
      </c>
      <c r="D194" s="11" t="str">
        <f t="shared" ref="D194:D225" si="55">"Q"&amp;ROUNDUP(C194/3,0)</f>
        <v>Q4</v>
      </c>
      <c r="E194" s="11" t="s">
        <v>103</v>
      </c>
      <c r="F194" s="11" t="s">
        <v>104</v>
      </c>
      <c r="G194" s="11" t="s">
        <v>40</v>
      </c>
      <c r="H194" s="11" t="s">
        <v>14</v>
      </c>
      <c r="I194" s="11" t="s">
        <v>105</v>
      </c>
      <c r="J194" s="11" t="s">
        <v>54</v>
      </c>
      <c r="K194" s="11" t="s">
        <v>136</v>
      </c>
      <c r="L194" s="11" t="s">
        <v>22</v>
      </c>
      <c r="M194" s="11" t="s">
        <v>49</v>
      </c>
      <c r="N194" s="11">
        <v>2</v>
      </c>
      <c r="O194" s="33">
        <v>1260000</v>
      </c>
      <c r="P194" s="34">
        <v>0.1</v>
      </c>
      <c r="Q194" s="33">
        <v>720000</v>
      </c>
      <c r="R194" s="11" t="s">
        <v>30</v>
      </c>
      <c r="S194" s="14">
        <f t="shared" ref="S194:S201" si="56">N194*O194*(1-P194)</f>
        <v>2268000</v>
      </c>
      <c r="T194" s="14">
        <f t="shared" ref="T194:T201" si="57">N194*Q194</f>
        <v>1440000</v>
      </c>
      <c r="U194" s="14">
        <f t="shared" ref="U194:U225" si="58">S194-T194</f>
        <v>828000</v>
      </c>
      <c r="V194" s="35">
        <f t="shared" ref="V194:V225" si="59">IF(S194=0,0,U194/S194)</f>
        <v>0.36507936507936506</v>
      </c>
      <c r="W194" s="14">
        <f t="shared" ref="W194:W201" si="60">IF(R194="Hoàn thành",S194,"")</f>
        <v>2268000</v>
      </c>
      <c r="X194" s="14">
        <f t="shared" ref="X194:X201" si="61">IF(R194="Hoàn thành",U194,"")</f>
        <v>828000</v>
      </c>
      <c r="Y194" s="11">
        <f t="shared" ref="Y194:Y201" si="62">WEEKDAY(B194,2)</f>
        <v>1</v>
      </c>
    </row>
    <row r="195" spans="1:25" x14ac:dyDescent="0.35">
      <c r="A195" s="11" t="s">
        <v>411</v>
      </c>
      <c r="B195" s="17">
        <v>46015</v>
      </c>
      <c r="C195" s="11">
        <f t="shared" si="54"/>
        <v>12</v>
      </c>
      <c r="D195" s="11" t="str">
        <f t="shared" si="55"/>
        <v>Q4</v>
      </c>
      <c r="E195" s="11" t="s">
        <v>412</v>
      </c>
      <c r="F195" s="11" t="s">
        <v>413</v>
      </c>
      <c r="G195" s="11" t="s">
        <v>40</v>
      </c>
      <c r="H195" s="11" t="s">
        <v>63</v>
      </c>
      <c r="I195" s="11" t="s">
        <v>130</v>
      </c>
      <c r="J195" s="11" t="s">
        <v>65</v>
      </c>
      <c r="K195" s="11" t="s">
        <v>140</v>
      </c>
      <c r="L195" s="11" t="s">
        <v>73</v>
      </c>
      <c r="M195" s="11" t="s">
        <v>106</v>
      </c>
      <c r="N195" s="11">
        <v>1</v>
      </c>
      <c r="O195" s="33">
        <v>1600000</v>
      </c>
      <c r="P195" s="34">
        <v>0</v>
      </c>
      <c r="Q195" s="33">
        <v>1000000</v>
      </c>
      <c r="R195" s="11" t="s">
        <v>30</v>
      </c>
      <c r="S195" s="14">
        <f t="shared" si="56"/>
        <v>1600000</v>
      </c>
      <c r="T195" s="14">
        <f t="shared" si="57"/>
        <v>1000000</v>
      </c>
      <c r="U195" s="14">
        <f t="shared" si="58"/>
        <v>600000</v>
      </c>
      <c r="V195" s="35">
        <f t="shared" si="59"/>
        <v>0.375</v>
      </c>
      <c r="W195" s="14">
        <f t="shared" si="60"/>
        <v>1600000</v>
      </c>
      <c r="X195" s="14">
        <f t="shared" si="61"/>
        <v>600000</v>
      </c>
      <c r="Y195" s="11">
        <f t="shared" si="62"/>
        <v>3</v>
      </c>
    </row>
    <row r="196" spans="1:25" x14ac:dyDescent="0.35">
      <c r="A196" s="11" t="s">
        <v>415</v>
      </c>
      <c r="B196" s="17">
        <v>46016</v>
      </c>
      <c r="C196" s="11">
        <f t="shared" si="54"/>
        <v>12</v>
      </c>
      <c r="D196" s="11" t="str">
        <f t="shared" si="55"/>
        <v>Q4</v>
      </c>
      <c r="E196" s="11" t="s">
        <v>271</v>
      </c>
      <c r="F196" s="11" t="s">
        <v>272</v>
      </c>
      <c r="G196" s="11" t="s">
        <v>40</v>
      </c>
      <c r="H196" s="11" t="s">
        <v>14</v>
      </c>
      <c r="I196" s="11" t="s">
        <v>135</v>
      </c>
      <c r="J196" s="11" t="s">
        <v>54</v>
      </c>
      <c r="K196" s="11" t="s">
        <v>55</v>
      </c>
      <c r="L196" s="11" t="s">
        <v>56</v>
      </c>
      <c r="M196" s="11" t="s">
        <v>76</v>
      </c>
      <c r="N196" s="11">
        <v>1</v>
      </c>
      <c r="O196" s="33">
        <v>850000</v>
      </c>
      <c r="P196" s="34">
        <v>0.1</v>
      </c>
      <c r="Q196" s="33">
        <v>520000</v>
      </c>
      <c r="R196" s="11" t="s">
        <v>30</v>
      </c>
      <c r="S196" s="14">
        <f t="shared" si="56"/>
        <v>765000</v>
      </c>
      <c r="T196" s="14">
        <f t="shared" si="57"/>
        <v>520000</v>
      </c>
      <c r="U196" s="14">
        <f t="shared" si="58"/>
        <v>245000</v>
      </c>
      <c r="V196" s="35">
        <f t="shared" si="59"/>
        <v>0.3202614379084967</v>
      </c>
      <c r="W196" s="14">
        <f t="shared" si="60"/>
        <v>765000</v>
      </c>
      <c r="X196" s="14">
        <f t="shared" si="61"/>
        <v>245000</v>
      </c>
      <c r="Y196" s="11">
        <f t="shared" si="62"/>
        <v>4</v>
      </c>
    </row>
    <row r="197" spans="1:25" x14ac:dyDescent="0.35">
      <c r="A197" s="11" t="s">
        <v>416</v>
      </c>
      <c r="B197" s="17">
        <v>46017</v>
      </c>
      <c r="C197" s="11">
        <f t="shared" si="54"/>
        <v>12</v>
      </c>
      <c r="D197" s="11" t="str">
        <f t="shared" si="55"/>
        <v>Q4</v>
      </c>
      <c r="E197" s="11" t="s">
        <v>266</v>
      </c>
      <c r="F197" s="11" t="s">
        <v>267</v>
      </c>
      <c r="G197" s="11" t="s">
        <v>40</v>
      </c>
      <c r="H197" s="11" t="s">
        <v>41</v>
      </c>
      <c r="I197" s="11" t="s">
        <v>86</v>
      </c>
      <c r="J197" s="11" t="s">
        <v>43</v>
      </c>
      <c r="K197" s="11" t="s">
        <v>48</v>
      </c>
      <c r="L197" s="11" t="s">
        <v>73</v>
      </c>
      <c r="M197" s="11" t="s">
        <v>88</v>
      </c>
      <c r="N197" s="11">
        <v>2</v>
      </c>
      <c r="O197" s="33">
        <v>304000</v>
      </c>
      <c r="P197" s="34">
        <v>0</v>
      </c>
      <c r="Q197" s="33">
        <v>120000</v>
      </c>
      <c r="R197" s="11" t="s">
        <v>30</v>
      </c>
      <c r="S197" s="14">
        <f t="shared" si="56"/>
        <v>608000</v>
      </c>
      <c r="T197" s="14">
        <f t="shared" si="57"/>
        <v>240000</v>
      </c>
      <c r="U197" s="14">
        <f t="shared" si="58"/>
        <v>368000</v>
      </c>
      <c r="V197" s="35">
        <f t="shared" si="59"/>
        <v>0.60526315789473684</v>
      </c>
      <c r="W197" s="14">
        <f t="shared" si="60"/>
        <v>608000</v>
      </c>
      <c r="X197" s="14">
        <f t="shared" si="61"/>
        <v>368000</v>
      </c>
      <c r="Y197" s="11">
        <f t="shared" si="62"/>
        <v>5</v>
      </c>
    </row>
    <row r="198" spans="1:25" x14ac:dyDescent="0.35">
      <c r="A198" s="11" t="s">
        <v>417</v>
      </c>
      <c r="B198" s="17">
        <v>46018</v>
      </c>
      <c r="C198" s="11">
        <f t="shared" si="54"/>
        <v>12</v>
      </c>
      <c r="D198" s="11" t="str">
        <f t="shared" si="55"/>
        <v>Q4</v>
      </c>
      <c r="E198" s="11" t="s">
        <v>171</v>
      </c>
      <c r="F198" s="11" t="s">
        <v>172</v>
      </c>
      <c r="G198" s="11" t="s">
        <v>12</v>
      </c>
      <c r="H198" s="11" t="s">
        <v>41</v>
      </c>
      <c r="I198" s="11" t="s">
        <v>173</v>
      </c>
      <c r="J198" s="11" t="s">
        <v>65</v>
      </c>
      <c r="K198" s="11" t="s">
        <v>66</v>
      </c>
      <c r="L198" s="11" t="s">
        <v>22</v>
      </c>
      <c r="M198" s="11" t="s">
        <v>159</v>
      </c>
      <c r="N198" s="11">
        <v>2</v>
      </c>
      <c r="O198" s="33">
        <v>520000</v>
      </c>
      <c r="P198" s="34">
        <v>0.05</v>
      </c>
      <c r="Q198" s="33">
        <v>310000</v>
      </c>
      <c r="R198" s="11" t="s">
        <v>30</v>
      </c>
      <c r="S198" s="14">
        <f t="shared" si="56"/>
        <v>988000</v>
      </c>
      <c r="T198" s="14">
        <f t="shared" si="57"/>
        <v>620000</v>
      </c>
      <c r="U198" s="14">
        <f t="shared" si="58"/>
        <v>368000</v>
      </c>
      <c r="V198" s="35">
        <f t="shared" si="59"/>
        <v>0.37246963562753038</v>
      </c>
      <c r="W198" s="14">
        <f t="shared" si="60"/>
        <v>988000</v>
      </c>
      <c r="X198" s="14">
        <f t="shared" si="61"/>
        <v>368000</v>
      </c>
      <c r="Y198" s="11">
        <f t="shared" si="62"/>
        <v>6</v>
      </c>
    </row>
    <row r="199" spans="1:25" x14ac:dyDescent="0.35">
      <c r="A199" s="11" t="s">
        <v>418</v>
      </c>
      <c r="B199" s="17">
        <v>46020</v>
      </c>
      <c r="C199" s="11">
        <f t="shared" si="54"/>
        <v>12</v>
      </c>
      <c r="D199" s="11" t="str">
        <f t="shared" si="55"/>
        <v>Q4</v>
      </c>
      <c r="E199" s="11" t="s">
        <v>152</v>
      </c>
      <c r="F199" s="11" t="s">
        <v>153</v>
      </c>
      <c r="G199" s="11" t="s">
        <v>40</v>
      </c>
      <c r="H199" s="11" t="s">
        <v>41</v>
      </c>
      <c r="I199" s="11" t="s">
        <v>80</v>
      </c>
      <c r="J199" s="11" t="s">
        <v>54</v>
      </c>
      <c r="K199" s="11" t="s">
        <v>136</v>
      </c>
      <c r="L199" s="11" t="s">
        <v>56</v>
      </c>
      <c r="M199" s="11" t="s">
        <v>49</v>
      </c>
      <c r="N199" s="11">
        <v>2</v>
      </c>
      <c r="O199" s="33">
        <v>1200000</v>
      </c>
      <c r="P199" s="34">
        <v>0.2</v>
      </c>
      <c r="Q199" s="33">
        <v>720000</v>
      </c>
      <c r="R199" s="11" t="s">
        <v>30</v>
      </c>
      <c r="S199" s="14">
        <f t="shared" si="56"/>
        <v>1920000</v>
      </c>
      <c r="T199" s="14">
        <f t="shared" si="57"/>
        <v>1440000</v>
      </c>
      <c r="U199" s="14">
        <f t="shared" si="58"/>
        <v>480000</v>
      </c>
      <c r="V199" s="35">
        <f t="shared" si="59"/>
        <v>0.25</v>
      </c>
      <c r="W199" s="14">
        <f t="shared" si="60"/>
        <v>1920000</v>
      </c>
      <c r="X199" s="14">
        <f t="shared" si="61"/>
        <v>480000</v>
      </c>
      <c r="Y199" s="11">
        <f t="shared" si="62"/>
        <v>1</v>
      </c>
    </row>
    <row r="200" spans="1:25" x14ac:dyDescent="0.35">
      <c r="A200" s="11" t="s">
        <v>419</v>
      </c>
      <c r="B200" s="17">
        <v>46020</v>
      </c>
      <c r="C200" s="11">
        <f t="shared" si="54"/>
        <v>12</v>
      </c>
      <c r="D200" s="11" t="str">
        <f t="shared" si="55"/>
        <v>Q4</v>
      </c>
      <c r="E200" s="11" t="s">
        <v>38</v>
      </c>
      <c r="F200" s="11" t="s">
        <v>39</v>
      </c>
      <c r="G200" s="11" t="s">
        <v>40</v>
      </c>
      <c r="H200" s="11" t="s">
        <v>41</v>
      </c>
      <c r="I200" s="11" t="s">
        <v>42</v>
      </c>
      <c r="J200" s="11" t="s">
        <v>54</v>
      </c>
      <c r="K200" s="11" t="s">
        <v>220</v>
      </c>
      <c r="L200" s="11" t="s">
        <v>73</v>
      </c>
      <c r="M200" s="11" t="s">
        <v>492</v>
      </c>
      <c r="N200" s="11">
        <v>1</v>
      </c>
      <c r="O200" s="33">
        <v>472000</v>
      </c>
      <c r="P200" s="34">
        <v>0</v>
      </c>
      <c r="Q200" s="33">
        <v>260000</v>
      </c>
      <c r="R200" s="11" t="s">
        <v>30</v>
      </c>
      <c r="S200" s="14">
        <f t="shared" si="56"/>
        <v>472000</v>
      </c>
      <c r="T200" s="14">
        <f t="shared" si="57"/>
        <v>260000</v>
      </c>
      <c r="U200" s="14">
        <f t="shared" si="58"/>
        <v>212000</v>
      </c>
      <c r="V200" s="35">
        <f t="shared" si="59"/>
        <v>0.44915254237288138</v>
      </c>
      <c r="W200" s="14">
        <f t="shared" si="60"/>
        <v>472000</v>
      </c>
      <c r="X200" s="14">
        <f t="shared" si="61"/>
        <v>212000</v>
      </c>
      <c r="Y200" s="11">
        <f t="shared" si="62"/>
        <v>1</v>
      </c>
    </row>
    <row r="201" spans="1:25" x14ac:dyDescent="0.35">
      <c r="A201" s="11" t="s">
        <v>420</v>
      </c>
      <c r="B201" s="17">
        <v>46020</v>
      </c>
      <c r="C201" s="11">
        <f t="shared" si="54"/>
        <v>12</v>
      </c>
      <c r="D201" s="11" t="str">
        <f t="shared" si="55"/>
        <v>Q4</v>
      </c>
      <c r="E201" s="11" t="s">
        <v>422</v>
      </c>
      <c r="F201" s="11" t="s">
        <v>423</v>
      </c>
      <c r="G201" s="11" t="s">
        <v>12</v>
      </c>
      <c r="H201" s="11" t="s">
        <v>41</v>
      </c>
      <c r="I201" s="11" t="s">
        <v>86</v>
      </c>
      <c r="J201" s="11" t="s">
        <v>54</v>
      </c>
      <c r="K201" s="11" t="s">
        <v>136</v>
      </c>
      <c r="L201" s="11" t="s">
        <v>22</v>
      </c>
      <c r="M201" s="11" t="s">
        <v>49</v>
      </c>
      <c r="N201" s="11">
        <v>5</v>
      </c>
      <c r="O201" s="33">
        <v>1260000</v>
      </c>
      <c r="P201" s="34">
        <v>0.1</v>
      </c>
      <c r="Q201" s="33">
        <v>720000</v>
      </c>
      <c r="R201" s="11" t="s">
        <v>30</v>
      </c>
      <c r="S201" s="14">
        <f t="shared" si="56"/>
        <v>5670000</v>
      </c>
      <c r="T201" s="14">
        <f t="shared" si="57"/>
        <v>3600000</v>
      </c>
      <c r="U201" s="14">
        <f t="shared" si="58"/>
        <v>2070000</v>
      </c>
      <c r="V201" s="35">
        <f t="shared" si="59"/>
        <v>0.36507936507936506</v>
      </c>
      <c r="W201" s="14">
        <f t="shared" si="60"/>
        <v>5670000</v>
      </c>
      <c r="X201" s="14">
        <f t="shared" si="61"/>
        <v>2070000</v>
      </c>
      <c r="Y201" s="11">
        <f t="shared" si="62"/>
        <v>1</v>
      </c>
    </row>
  </sheetData>
  <autoFilter ref="A1:Y20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5597"/>
  </sheetPr>
  <dimension ref="A1:E45"/>
  <sheetViews>
    <sheetView showGridLines="0" zoomScaleNormal="100" workbookViewId="0">
      <selection activeCell="A45" sqref="A45:D45"/>
    </sheetView>
  </sheetViews>
  <sheetFormatPr defaultColWidth="8.6328125" defaultRowHeight="14.5" x14ac:dyDescent="0.35"/>
  <cols>
    <col min="1" max="1" width="34" customWidth="1"/>
    <col min="2" max="3" width="22" customWidth="1"/>
    <col min="4" max="4" width="62" customWidth="1"/>
    <col min="5" max="5" width="12" customWidth="1"/>
  </cols>
  <sheetData>
    <row r="1" spans="1:4" ht="31.5" customHeight="1" x14ac:dyDescent="0.35">
      <c r="A1" s="65"/>
      <c r="B1" s="65"/>
      <c r="C1" s="65"/>
      <c r="D1" s="65"/>
    </row>
    <row r="2" spans="1:4" ht="30" customHeight="1" x14ac:dyDescent="0.35">
      <c r="A2" s="6"/>
      <c r="B2" s="6"/>
      <c r="C2" s="6"/>
      <c r="D2" s="6"/>
    </row>
    <row r="4" spans="1:4" ht="19.5" customHeight="1" x14ac:dyDescent="0.35">
      <c r="A4" s="5" t="s">
        <v>493</v>
      </c>
      <c r="B4" s="5"/>
      <c r="C4" s="5"/>
      <c r="D4" s="5"/>
    </row>
    <row r="5" spans="1:4" ht="31.5" customHeight="1" x14ac:dyDescent="0.35">
      <c r="A5" s="9" t="s">
        <v>450</v>
      </c>
      <c r="B5" s="9" t="s">
        <v>494</v>
      </c>
      <c r="C5" s="9" t="s">
        <v>495</v>
      </c>
      <c r="D5" s="9" t="s">
        <v>496</v>
      </c>
    </row>
    <row r="6" spans="1:4" x14ac:dyDescent="0.35">
      <c r="A6" s="8" t="s">
        <v>497</v>
      </c>
      <c r="B6" s="36">
        <f>COUNT('Dữ liệu sạch'!$W$2:$W$201)</f>
        <v>176</v>
      </c>
      <c r="C6" s="36">
        <f>COUNT('Dữ liệu sạch'!$X$2:$X$201)</f>
        <v>176</v>
      </c>
      <c r="D6" s="8"/>
    </row>
    <row r="7" spans="1:4" x14ac:dyDescent="0.35">
      <c r="A7" s="8" t="s">
        <v>498</v>
      </c>
      <c r="B7" s="37">
        <f>SUM('Dữ liệu sạch'!$W$2:$W$201)</f>
        <v>346260650</v>
      </c>
      <c r="C7" s="37">
        <f>SUM('Dữ liệu sạch'!$X$2:$X$201)</f>
        <v>131000650</v>
      </c>
      <c r="D7" s="8"/>
    </row>
    <row r="8" spans="1:4" x14ac:dyDescent="0.35">
      <c r="A8" s="8" t="s">
        <v>437</v>
      </c>
      <c r="B8" s="37">
        <f>AVERAGE('Dữ liệu sạch'!$W$2:$W$201)</f>
        <v>1967390.0568181819</v>
      </c>
      <c r="C8" s="37">
        <f>AVERAGE('Dữ liệu sạch'!$X$2:$X$201)</f>
        <v>744321.875</v>
      </c>
      <c r="D8" s="8"/>
    </row>
    <row r="9" spans="1:4" ht="30" customHeight="1" x14ac:dyDescent="0.35">
      <c r="A9" s="8" t="s">
        <v>499</v>
      </c>
      <c r="B9" s="37">
        <f>MEDIAN('Dữ liệu sạch'!$W$2:$W$201)</f>
        <v>1151750</v>
      </c>
      <c r="C9" s="37">
        <f>MEDIAN('Dữ liệu sạch'!$X$2:$X$201)</f>
        <v>487250</v>
      </c>
      <c r="D9" s="8" t="str">
        <f>IF(B9&lt;B8,"Trung vị &lt; Trung bình: phân phối lệch phải, một số đơn giá trị rất lớn kéo trung bình lên","Trung vị ≥ Trung bình: phân phối tương đối cân đối")</f>
        <v>Trung vị &lt; Trung bình: phân phối lệch phải, một số đơn giá trị rất lớn kéo trung bình lên</v>
      </c>
    </row>
    <row r="10" spans="1:4" x14ac:dyDescent="0.35">
      <c r="A10" s="8" t="s">
        <v>500</v>
      </c>
      <c r="B10" s="37">
        <f>MIN('Dữ liệu sạch'!$W$2:$W$201)</f>
        <v>178500</v>
      </c>
      <c r="C10" s="37">
        <f>MIN('Dữ liệu sạch'!$X$2:$X$201)</f>
        <v>52000</v>
      </c>
      <c r="D10" s="8"/>
    </row>
    <row r="11" spans="1:4" x14ac:dyDescent="0.35">
      <c r="A11" s="8" t="s">
        <v>501</v>
      </c>
      <c r="B11" s="37">
        <f>QUARTILE('Dữ liệu sạch'!$W$2:$W$201,1)</f>
        <v>560000</v>
      </c>
      <c r="C11" s="37">
        <f>QUARTILE('Dữ liệu sạch'!$X$2:$X$201,1)</f>
        <v>244000</v>
      </c>
      <c r="D11" s="8"/>
    </row>
    <row r="12" spans="1:4" x14ac:dyDescent="0.35">
      <c r="A12" s="8" t="s">
        <v>502</v>
      </c>
      <c r="B12" s="37">
        <f>QUARTILE('Dữ liệu sạch'!$W$2:$W$201,3)</f>
        <v>2198700</v>
      </c>
      <c r="C12" s="37">
        <f>QUARTILE('Dữ liệu sạch'!$X$2:$X$201,3)</f>
        <v>828500</v>
      </c>
      <c r="D12" s="8"/>
    </row>
    <row r="13" spans="1:4" x14ac:dyDescent="0.35">
      <c r="A13" s="8" t="s">
        <v>503</v>
      </c>
      <c r="B13" s="37">
        <f>MAX('Dữ liệu sạch'!$W$2:$W$201)</f>
        <v>16957500</v>
      </c>
      <c r="C13" s="37">
        <f>MAX('Dữ liệu sạch'!$X$2:$X$201)</f>
        <v>5800000</v>
      </c>
      <c r="D13" s="8"/>
    </row>
    <row r="14" spans="1:4" x14ac:dyDescent="0.35">
      <c r="A14" s="8" t="s">
        <v>504</v>
      </c>
      <c r="B14" s="37">
        <f>STDEV('Dữ liệu sạch'!$W$2:$W$201)</f>
        <v>2408521.0882437495</v>
      </c>
      <c r="C14" s="37">
        <f>STDEV('Dữ liệu sạch'!$X$2:$X$201)</f>
        <v>872038.4792731544</v>
      </c>
      <c r="D14" s="8"/>
    </row>
    <row r="15" spans="1:4" ht="30" customHeight="1" x14ac:dyDescent="0.35">
      <c r="A15" s="8" t="s">
        <v>505</v>
      </c>
      <c r="B15" s="38">
        <f>B14/B8</f>
        <v>1.2242214399207645</v>
      </c>
      <c r="C15" s="38">
        <f>C14/C8</f>
        <v>1.1715878688546597</v>
      </c>
      <c r="D15" s="8" t="str">
        <f>IF(B15&gt;1,"CV &gt; 100%: giá trị đơn hàng biến động rất mạnh","CV ≤ 100%: mức biến động vừa phải")</f>
        <v>CV &gt; 100%: giá trị đơn hàng biến động rất mạnh</v>
      </c>
    </row>
    <row r="16" spans="1:4" x14ac:dyDescent="0.35">
      <c r="A16" s="8" t="s">
        <v>506</v>
      </c>
      <c r="B16" s="39">
        <f>SKEW('Dữ liệu sạch'!$W$2:$W$201)</f>
        <v>2.9618068497186063</v>
      </c>
      <c r="C16" s="39">
        <f>SKEW('Dữ liệu sạch'!$X$2:$X$201)</f>
        <v>2.8453038674592643</v>
      </c>
      <c r="D16" s="8"/>
    </row>
    <row r="17" spans="1:5" x14ac:dyDescent="0.35">
      <c r="A17" s="8" t="s">
        <v>507</v>
      </c>
      <c r="B17" s="37">
        <f>B12-B11</f>
        <v>1638700</v>
      </c>
      <c r="C17" s="37">
        <f>C12-C11</f>
        <v>584500</v>
      </c>
      <c r="D17" s="8"/>
    </row>
    <row r="18" spans="1:5" x14ac:dyDescent="0.35">
      <c r="A18" s="8" t="s">
        <v>508</v>
      </c>
      <c r="B18" s="37">
        <f>B12+1.5*B17</f>
        <v>4656750</v>
      </c>
      <c r="C18" s="37">
        <f>C12+1.5*C17</f>
        <v>1705250</v>
      </c>
      <c r="D18" s="8"/>
    </row>
    <row r="19" spans="1:5" ht="30" customHeight="1" x14ac:dyDescent="0.35">
      <c r="A19" s="8" t="s">
        <v>509</v>
      </c>
      <c r="B19" s="36">
        <f>COUNTIF('Dữ liệu sạch'!$W$2:$W$201,"&gt;"&amp;B18)</f>
        <v>18</v>
      </c>
      <c r="C19" s="36">
        <f>COUNTIF('Dữ liệu sạch'!$X$2:$X$201,"&gt;"&amp;C18)</f>
        <v>19</v>
      </c>
      <c r="D19" s="8" t="str">
        <f>"Có "&amp;B19&amp;" đơn doanh thu vượt "&amp;TEXT(B18,"#,##0")&amp;" đ: nên phân tích riêng nhóm đơn lớn (thường là khách doanh nghiệp)"</f>
        <v>Có 18 đơn doanh thu vượt 4656750,0 đ: nên phân tích riêng nhóm đơn lớn (thường là khách doanh nghiệp)</v>
      </c>
    </row>
    <row r="22" spans="1:5" ht="19.5" customHeight="1" x14ac:dyDescent="0.35">
      <c r="A22" s="5" t="s">
        <v>510</v>
      </c>
      <c r="B22" s="5"/>
      <c r="C22" s="5"/>
      <c r="D22" s="5"/>
    </row>
    <row r="23" spans="1:5" ht="31.5" customHeight="1" x14ac:dyDescent="0.35">
      <c r="A23" s="9" t="s">
        <v>511</v>
      </c>
      <c r="B23" s="9" t="s">
        <v>512</v>
      </c>
      <c r="C23" s="9" t="s">
        <v>513</v>
      </c>
      <c r="D23" s="9" t="s">
        <v>514</v>
      </c>
      <c r="E23" s="9" t="s">
        <v>515</v>
      </c>
    </row>
    <row r="24" spans="1:5" x14ac:dyDescent="0.35">
      <c r="A24" s="8" t="s">
        <v>516</v>
      </c>
      <c r="B24" s="40">
        <v>0</v>
      </c>
      <c r="C24" s="40">
        <v>500000</v>
      </c>
      <c r="D24" s="26">
        <f>COUNTIFS('Dữ liệu sạch'!$W$2:$W$201,"&gt;="&amp;B24,'Dữ liệu sạch'!$W$2:$W$201,"&lt;"&amp;C24)</f>
        <v>35</v>
      </c>
      <c r="E24" s="28">
        <f t="shared" ref="E24:E29" si="0">D24/$D$30</f>
        <v>0.19886363636363635</v>
      </c>
    </row>
    <row r="25" spans="1:5" x14ac:dyDescent="0.35">
      <c r="A25" s="8" t="s">
        <v>517</v>
      </c>
      <c r="B25" s="40">
        <v>500000</v>
      </c>
      <c r="C25" s="40">
        <v>1000000</v>
      </c>
      <c r="D25" s="26">
        <f>COUNTIFS('Dữ liệu sạch'!$W$2:$W$201,"&gt;="&amp;B25,'Dữ liệu sạch'!$W$2:$W$201,"&lt;"&amp;C25)</f>
        <v>44</v>
      </c>
      <c r="E25" s="28">
        <f t="shared" si="0"/>
        <v>0.25</v>
      </c>
    </row>
    <row r="26" spans="1:5" x14ac:dyDescent="0.35">
      <c r="A26" s="8" t="s">
        <v>518</v>
      </c>
      <c r="B26" s="40">
        <v>1000000</v>
      </c>
      <c r="C26" s="40">
        <v>2000000</v>
      </c>
      <c r="D26" s="26">
        <f>COUNTIFS('Dữ liệu sạch'!$W$2:$W$201,"&gt;="&amp;B26,'Dữ liệu sạch'!$W$2:$W$201,"&lt;"&amp;C26)</f>
        <v>43</v>
      </c>
      <c r="E26" s="28">
        <f t="shared" si="0"/>
        <v>0.24431818181818182</v>
      </c>
    </row>
    <row r="27" spans="1:5" x14ac:dyDescent="0.35">
      <c r="A27" s="8" t="s">
        <v>519</v>
      </c>
      <c r="B27" s="40">
        <v>2000000</v>
      </c>
      <c r="C27" s="40">
        <v>5000000</v>
      </c>
      <c r="D27" s="26">
        <f>COUNTIFS('Dữ liệu sạch'!$W$2:$W$201,"&gt;="&amp;B27,'Dữ liệu sạch'!$W$2:$W$201,"&lt;"&amp;C27)</f>
        <v>37</v>
      </c>
      <c r="E27" s="28">
        <f t="shared" si="0"/>
        <v>0.21022727272727273</v>
      </c>
    </row>
    <row r="28" spans="1:5" x14ac:dyDescent="0.35">
      <c r="A28" s="8" t="s">
        <v>520</v>
      </c>
      <c r="B28" s="40">
        <v>5000000</v>
      </c>
      <c r="C28" s="40">
        <v>10000000</v>
      </c>
      <c r="D28" s="26">
        <f>COUNTIFS('Dữ liệu sạch'!$W$2:$W$201,"&gt;="&amp;B28,'Dữ liệu sạch'!$W$2:$W$201,"&lt;"&amp;C28)</f>
        <v>13</v>
      </c>
      <c r="E28" s="28">
        <f t="shared" si="0"/>
        <v>7.3863636363636367E-2</v>
      </c>
    </row>
    <row r="29" spans="1:5" x14ac:dyDescent="0.35">
      <c r="A29" s="8" t="s">
        <v>521</v>
      </c>
      <c r="B29" s="40">
        <v>10000000</v>
      </c>
      <c r="C29" s="40">
        <v>1000000000000</v>
      </c>
      <c r="D29" s="26">
        <f>COUNTIFS('Dữ liệu sạch'!$W$2:$W$201,"&gt;="&amp;B29,'Dữ liệu sạch'!$W$2:$W$201,"&lt;"&amp;C29)</f>
        <v>4</v>
      </c>
      <c r="E29" s="28">
        <f t="shared" si="0"/>
        <v>2.2727272727272728E-2</v>
      </c>
    </row>
    <row r="30" spans="1:5" x14ac:dyDescent="0.35">
      <c r="A30" s="30" t="s">
        <v>498</v>
      </c>
      <c r="B30" s="30"/>
      <c r="C30" s="30"/>
      <c r="D30" s="41">
        <f>SUM(D24:D29)</f>
        <v>176</v>
      </c>
      <c r="E30" s="42">
        <f>SUM(E24:E29)</f>
        <v>0.99999999999999989</v>
      </c>
    </row>
    <row r="31" spans="1:5" ht="15" customHeight="1" x14ac:dyDescent="0.35">
      <c r="A31" s="1"/>
      <c r="B31" s="1"/>
      <c r="C31" s="1"/>
      <c r="D31" s="1"/>
      <c r="E31" s="1"/>
    </row>
    <row r="33" spans="1:4" ht="19.5" customHeight="1" x14ac:dyDescent="0.35">
      <c r="A33" s="5" t="s">
        <v>522</v>
      </c>
      <c r="B33" s="5"/>
      <c r="C33" s="5"/>
      <c r="D33" s="5"/>
    </row>
    <row r="34" spans="1:4" ht="31.5" customHeight="1" x14ac:dyDescent="0.35">
      <c r="A34" s="9" t="s">
        <v>29</v>
      </c>
      <c r="B34" s="9" t="s">
        <v>514</v>
      </c>
      <c r="C34" s="9" t="s">
        <v>515</v>
      </c>
      <c r="D34" s="9" t="s">
        <v>523</v>
      </c>
    </row>
    <row r="35" spans="1:4" x14ac:dyDescent="0.35">
      <c r="A35" s="8" t="s">
        <v>30</v>
      </c>
      <c r="B35" s="26">
        <f>COUNTIF('Dữ liệu sạch'!$R$2:$R$201,A35)</f>
        <v>176</v>
      </c>
      <c r="C35" s="28">
        <f>B35/$B$38</f>
        <v>0.88</v>
      </c>
      <c r="D35" s="8" t="s">
        <v>524</v>
      </c>
    </row>
    <row r="36" spans="1:4" x14ac:dyDescent="0.35">
      <c r="A36" s="8" t="s">
        <v>98</v>
      </c>
      <c r="B36" s="26">
        <f>COUNTIF('Dữ liệu sạch'!$R$2:$R$201,A36)</f>
        <v>12</v>
      </c>
      <c r="C36" s="28">
        <f>B36/$B$38</f>
        <v>0.06</v>
      </c>
      <c r="D36" s="8" t="s">
        <v>525</v>
      </c>
    </row>
    <row r="37" spans="1:4" x14ac:dyDescent="0.35">
      <c r="A37" s="8" t="s">
        <v>58</v>
      </c>
      <c r="B37" s="26">
        <f>COUNTIF('Dữ liệu sạch'!$R$2:$R$201,A37)</f>
        <v>12</v>
      </c>
      <c r="C37" s="28">
        <f>B37/$B$38</f>
        <v>0.06</v>
      </c>
      <c r="D37" s="8" t="s">
        <v>526</v>
      </c>
    </row>
    <row r="38" spans="1:4" x14ac:dyDescent="0.35">
      <c r="A38" s="30" t="s">
        <v>498</v>
      </c>
      <c r="B38" s="41">
        <f>SUM(B35:B37)</f>
        <v>200</v>
      </c>
      <c r="C38" s="42">
        <f>SUM(C35:C37)</f>
        <v>1</v>
      </c>
      <c r="D38" s="30"/>
    </row>
    <row r="40" spans="1:4" ht="19.5" customHeight="1" x14ac:dyDescent="0.35">
      <c r="A40" s="5" t="s">
        <v>527</v>
      </c>
      <c r="B40" s="5"/>
      <c r="C40" s="5"/>
      <c r="D40" s="5"/>
    </row>
    <row r="41" spans="1:4" ht="31.5" customHeight="1" x14ac:dyDescent="0.35">
      <c r="A41" s="9" t="s">
        <v>528</v>
      </c>
      <c r="B41" s="9" t="s">
        <v>529</v>
      </c>
      <c r="C41" s="9" t="s">
        <v>429</v>
      </c>
      <c r="D41" s="9" t="s">
        <v>496</v>
      </c>
    </row>
    <row r="42" spans="1:4" x14ac:dyDescent="0.35">
      <c r="A42" s="8" t="s">
        <v>530</v>
      </c>
      <c r="B42" s="43">
        <f>CORREL('Dữ liệu sạch'!$P$2:$P$201,'Dữ liệu sạch'!$N$2:$N$201)</f>
        <v>8.8519254434036715E-2</v>
      </c>
      <c r="C42" s="10" t="str">
        <f>IF(ABS(B42)&lt;0.2,"Rất yếu",IF(ABS(B42)&lt;0.4,"Yếu",IF(ABS(B42)&lt;0.6,"Trung bình","Mạnh")))&amp;IF(B42&lt;0," (nghịch)"," (thuận)")</f>
        <v>Rất yếu (thuận)</v>
      </c>
      <c r="D42" s="8" t="s">
        <v>531</v>
      </c>
    </row>
    <row r="43" spans="1:4" x14ac:dyDescent="0.35">
      <c r="A43" s="8" t="s">
        <v>532</v>
      </c>
      <c r="B43" s="43">
        <f>CORREL('Dữ liệu sạch'!$P$2:$P$201,'Dữ liệu sạch'!$V$2:$V$201)</f>
        <v>-0.47751254051065994</v>
      </c>
      <c r="C43" s="10" t="str">
        <f>IF(ABS(B43)&lt;0.2,"Rất yếu",IF(ABS(B43)&lt;0.4,"Yếu",IF(ABS(B43)&lt;0.6,"Trung bình","Mạnh")))&amp;IF(B43&lt;0," (nghịch)"," (thuận)")</f>
        <v>Trung bình (nghịch)</v>
      </c>
      <c r="D43" s="8" t="s">
        <v>533</v>
      </c>
    </row>
    <row r="44" spans="1:4" x14ac:dyDescent="0.35">
      <c r="A44" s="8" t="s">
        <v>534</v>
      </c>
      <c r="B44" s="43">
        <f>CORREL('Dữ liệu sạch'!$N$2:$N$201,'Dữ liệu sạch'!$S$2:$S$201)</f>
        <v>0.73621077981019201</v>
      </c>
      <c r="C44" s="10" t="str">
        <f>IF(ABS(B44)&lt;0.2,"Rất yếu",IF(ABS(B44)&lt;0.4,"Yếu",IF(ABS(B44)&lt;0.6,"Trung bình","Mạnh")))&amp;IF(B44&lt;0," (nghịch)"," (thuận)")</f>
        <v>Mạnh (thuận)</v>
      </c>
      <c r="D44" s="8" t="s">
        <v>535</v>
      </c>
    </row>
    <row r="45" spans="1:4" ht="15" customHeight="1" x14ac:dyDescent="0.35">
      <c r="A45" s="1"/>
      <c r="B45" s="1"/>
      <c r="C45" s="1"/>
      <c r="D45" s="1"/>
    </row>
  </sheetData>
  <mergeCells count="8">
    <mergeCell ref="A33:D33"/>
    <mergeCell ref="A40:D40"/>
    <mergeCell ref="A45:D45"/>
    <mergeCell ref="A1:D1"/>
    <mergeCell ref="A2:D2"/>
    <mergeCell ref="A4:D4"/>
    <mergeCell ref="A22:D22"/>
    <mergeCell ref="A31:E3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5597"/>
  </sheetPr>
  <dimension ref="A1:I48"/>
  <sheetViews>
    <sheetView showGridLines="0" topLeftCell="A42" zoomScaleNormal="100" workbookViewId="0">
      <selection activeCell="A48" sqref="A48:I48"/>
    </sheetView>
  </sheetViews>
  <sheetFormatPr defaultColWidth="8.6328125" defaultRowHeight="14.5" x14ac:dyDescent="0.35"/>
  <cols>
    <col min="1" max="1" width="16" customWidth="1"/>
    <col min="2" max="2" width="12" customWidth="1"/>
    <col min="3" max="3" width="14" customWidth="1"/>
    <col min="4" max="5" width="16" customWidth="1"/>
    <col min="6" max="6" width="12" customWidth="1"/>
    <col min="7" max="7" width="16" customWidth="1"/>
    <col min="8" max="8" width="14" customWidth="1"/>
    <col min="9" max="9" width="18" customWidth="1"/>
  </cols>
  <sheetData>
    <row r="1" spans="1:9" ht="31.5" customHeight="1" x14ac:dyDescent="0.35">
      <c r="A1" s="7"/>
      <c r="B1" s="7"/>
      <c r="C1" s="7"/>
      <c r="D1" s="7"/>
      <c r="E1" s="7"/>
      <c r="F1" s="7"/>
      <c r="G1" s="7"/>
      <c r="H1" s="7"/>
      <c r="I1" s="7"/>
    </row>
    <row r="2" spans="1:9" ht="30" customHeight="1" x14ac:dyDescent="0.35">
      <c r="A2" s="6"/>
      <c r="B2" s="6"/>
      <c r="C2" s="6"/>
      <c r="D2" s="6"/>
      <c r="E2" s="6"/>
      <c r="F2" s="6"/>
      <c r="G2" s="6"/>
      <c r="H2" s="6"/>
      <c r="I2" s="6"/>
    </row>
    <row r="4" spans="1:9" ht="19.5" customHeight="1" x14ac:dyDescent="0.35">
      <c r="A4" s="5" t="s">
        <v>536</v>
      </c>
      <c r="B4" s="5"/>
      <c r="C4" s="5"/>
      <c r="D4" s="5"/>
      <c r="E4" s="5"/>
      <c r="F4" s="5"/>
      <c r="G4" s="5"/>
      <c r="H4" s="5"/>
      <c r="I4" s="5"/>
    </row>
    <row r="5" spans="1:9" ht="31.5" customHeight="1" x14ac:dyDescent="0.35">
      <c r="A5" s="9" t="s">
        <v>4</v>
      </c>
      <c r="B5" s="9" t="s">
        <v>537</v>
      </c>
      <c r="C5" s="9" t="s">
        <v>538</v>
      </c>
      <c r="D5" s="9" t="s">
        <v>31</v>
      </c>
      <c r="E5" s="9" t="s">
        <v>33</v>
      </c>
      <c r="F5" s="9" t="s">
        <v>539</v>
      </c>
      <c r="G5" s="9" t="s">
        <v>540</v>
      </c>
      <c r="H5" s="9" t="s">
        <v>541</v>
      </c>
      <c r="I5" s="9" t="s">
        <v>542</v>
      </c>
    </row>
    <row r="6" spans="1:9" x14ac:dyDescent="0.35">
      <c r="A6" s="8" t="s">
        <v>543</v>
      </c>
      <c r="B6" s="26">
        <v>1</v>
      </c>
      <c r="C6" s="26">
        <f>COUNTIFS('Dữ liệu sạch'!$C$2:$C$201,$B6,'Dữ liệu sạch'!$R$2:$R$201,"Hoàn thành")</f>
        <v>13</v>
      </c>
      <c r="D6" s="14">
        <f>SUMIFS('Dữ liệu sạch'!$W$2:$W$201,'Dữ liệu sạch'!$C$2:$C$201,$B6)</f>
        <v>12475600</v>
      </c>
      <c r="E6" s="14">
        <f>SUMIFS('Dữ liệu sạch'!$X$2:$X$201,'Dữ liệu sạch'!$C$2:$C$201,$B6)</f>
        <v>4725600</v>
      </c>
      <c r="F6" s="28">
        <f t="shared" ref="F6:F18" si="0">IF(D6=0,0,E6/D6)</f>
        <v>0.37878739299111869</v>
      </c>
      <c r="G6" s="14">
        <f t="shared" ref="G6:G18" si="1">IF(C6=0,0,D6/C6)</f>
        <v>959661.5384615385</v>
      </c>
      <c r="H6" s="44" t="s">
        <v>544</v>
      </c>
      <c r="I6" s="45" t="s">
        <v>544</v>
      </c>
    </row>
    <row r="7" spans="1:9" x14ac:dyDescent="0.35">
      <c r="A7" s="8" t="s">
        <v>545</v>
      </c>
      <c r="B7" s="26">
        <v>2</v>
      </c>
      <c r="C7" s="26">
        <f>COUNTIFS('Dữ liệu sạch'!$C$2:$C$201,$B7,'Dữ liệu sạch'!$R$2:$R$201,"Hoàn thành")</f>
        <v>5</v>
      </c>
      <c r="D7" s="14">
        <f>SUMIFS('Dữ liệu sạch'!$W$2:$W$201,'Dữ liệu sạch'!$C$2:$C$201,$B7)</f>
        <v>9850700</v>
      </c>
      <c r="E7" s="14">
        <f>SUMIFS('Dữ liệu sạch'!$X$2:$X$201,'Dữ liệu sạch'!$C$2:$C$201,$B7)</f>
        <v>3800700</v>
      </c>
      <c r="F7" s="28">
        <f t="shared" si="0"/>
        <v>0.3858304485975616</v>
      </c>
      <c r="G7" s="14">
        <f t="shared" si="1"/>
        <v>1970140</v>
      </c>
      <c r="H7" s="44">
        <f t="shared" ref="H7:H17" si="2">IF(D6=0,0,D7/D6-1)</f>
        <v>-0.21040270608227263</v>
      </c>
      <c r="I7" s="45" t="s">
        <v>544</v>
      </c>
    </row>
    <row r="8" spans="1:9" x14ac:dyDescent="0.35">
      <c r="A8" s="8" t="s">
        <v>546</v>
      </c>
      <c r="B8" s="26">
        <v>3</v>
      </c>
      <c r="C8" s="26">
        <f>COUNTIFS('Dữ liệu sạch'!$C$2:$C$201,$B8,'Dữ liệu sạch'!$R$2:$R$201,"Hoàn thành")</f>
        <v>17</v>
      </c>
      <c r="D8" s="14">
        <f>SUMIFS('Dữ liệu sạch'!$W$2:$W$201,'Dữ liệu sạch'!$C$2:$C$201,$B8)</f>
        <v>50366500</v>
      </c>
      <c r="E8" s="14">
        <f>SUMIFS('Dữ liệu sạch'!$X$2:$X$201,'Dữ liệu sạch'!$C$2:$C$201,$B8)</f>
        <v>15906500</v>
      </c>
      <c r="F8" s="28">
        <f t="shared" si="0"/>
        <v>0.31581507549660987</v>
      </c>
      <c r="G8" s="14">
        <f t="shared" si="1"/>
        <v>2962735.2941176472</v>
      </c>
      <c r="H8" s="44">
        <f t="shared" si="2"/>
        <v>4.1129868943323826</v>
      </c>
      <c r="I8" s="45">
        <f t="shared" ref="I8:I17" si="3">AVERAGE(D6:D8)</f>
        <v>24230933.333333332</v>
      </c>
    </row>
    <row r="9" spans="1:9" x14ac:dyDescent="0.35">
      <c r="A9" s="8" t="s">
        <v>547</v>
      </c>
      <c r="B9" s="26">
        <v>4</v>
      </c>
      <c r="C9" s="26">
        <f>COUNTIFS('Dữ liệu sạch'!$C$2:$C$201,$B9,'Dữ liệu sạch'!$R$2:$R$201,"Hoàn thành")</f>
        <v>12</v>
      </c>
      <c r="D9" s="14">
        <f>SUMIFS('Dữ liệu sạch'!$W$2:$W$201,'Dữ liệu sạch'!$C$2:$C$201,$B9)</f>
        <v>20054200</v>
      </c>
      <c r="E9" s="14">
        <f>SUMIFS('Dữ liệu sạch'!$X$2:$X$201,'Dữ liệu sạch'!$C$2:$C$201,$B9)</f>
        <v>7844200</v>
      </c>
      <c r="F9" s="28">
        <f t="shared" si="0"/>
        <v>0.39114998354459413</v>
      </c>
      <c r="G9" s="14">
        <f t="shared" si="1"/>
        <v>1671183.3333333333</v>
      </c>
      <c r="H9" s="44">
        <f t="shared" si="2"/>
        <v>-0.60183455272850006</v>
      </c>
      <c r="I9" s="45">
        <f t="shared" si="3"/>
        <v>26757133.333333332</v>
      </c>
    </row>
    <row r="10" spans="1:9" x14ac:dyDescent="0.35">
      <c r="A10" s="8" t="s">
        <v>548</v>
      </c>
      <c r="B10" s="26">
        <v>5</v>
      </c>
      <c r="C10" s="26">
        <f>COUNTIFS('Dữ liệu sạch'!$C$2:$C$201,$B10,'Dữ liệu sạch'!$R$2:$R$201,"Hoàn thành")</f>
        <v>13</v>
      </c>
      <c r="D10" s="14">
        <f>SUMIFS('Dữ liệu sạch'!$W$2:$W$201,'Dữ liệu sạch'!$C$2:$C$201,$B10)</f>
        <v>17846350</v>
      </c>
      <c r="E10" s="14">
        <f>SUMIFS('Dữ liệu sạch'!$X$2:$X$201,'Dữ liệu sạch'!$C$2:$C$201,$B10)</f>
        <v>7896350</v>
      </c>
      <c r="F10" s="28">
        <f t="shared" si="0"/>
        <v>0.44246302465209975</v>
      </c>
      <c r="G10" s="14">
        <f t="shared" si="1"/>
        <v>1372796.1538461538</v>
      </c>
      <c r="H10" s="44">
        <f t="shared" si="2"/>
        <v>-0.11009414486740932</v>
      </c>
      <c r="I10" s="45">
        <f t="shared" si="3"/>
        <v>29422350</v>
      </c>
    </row>
    <row r="11" spans="1:9" x14ac:dyDescent="0.35">
      <c r="A11" s="8" t="s">
        <v>549</v>
      </c>
      <c r="B11" s="26">
        <v>6</v>
      </c>
      <c r="C11" s="26">
        <f>COUNTIFS('Dữ liệu sạch'!$C$2:$C$201,$B11,'Dữ liệu sạch'!$R$2:$R$201,"Hoàn thành")</f>
        <v>15</v>
      </c>
      <c r="D11" s="14">
        <f>SUMIFS('Dữ liệu sạch'!$W$2:$W$201,'Dữ liệu sạch'!$C$2:$C$201,$B11)</f>
        <v>25664500</v>
      </c>
      <c r="E11" s="14">
        <f>SUMIFS('Dữ liệu sạch'!$X$2:$X$201,'Dữ liệu sạch'!$C$2:$C$201,$B11)</f>
        <v>11494500</v>
      </c>
      <c r="F11" s="28">
        <f t="shared" si="0"/>
        <v>0.4478754700072084</v>
      </c>
      <c r="G11" s="14">
        <f t="shared" si="1"/>
        <v>1710966.6666666667</v>
      </c>
      <c r="H11" s="44">
        <f t="shared" si="2"/>
        <v>0.4380811762629333</v>
      </c>
      <c r="I11" s="45">
        <f t="shared" si="3"/>
        <v>21188350</v>
      </c>
    </row>
    <row r="12" spans="1:9" x14ac:dyDescent="0.35">
      <c r="A12" s="8" t="s">
        <v>550</v>
      </c>
      <c r="B12" s="26">
        <v>7</v>
      </c>
      <c r="C12" s="26">
        <f>COUNTIFS('Dữ liệu sạch'!$C$2:$C$201,$B12,'Dữ liệu sạch'!$R$2:$R$201,"Hoàn thành")</f>
        <v>13</v>
      </c>
      <c r="D12" s="14">
        <f>SUMIFS('Dữ liệu sạch'!$W$2:$W$201,'Dữ liệu sạch'!$C$2:$C$201,$B12)</f>
        <v>33776500</v>
      </c>
      <c r="E12" s="14">
        <f>SUMIFS('Dữ liệu sạch'!$X$2:$X$201,'Dữ liệu sạch'!$C$2:$C$201,$B12)</f>
        <v>12676500</v>
      </c>
      <c r="F12" s="28">
        <f t="shared" si="0"/>
        <v>0.37530531582609211</v>
      </c>
      <c r="G12" s="14">
        <f t="shared" si="1"/>
        <v>2598192.3076923075</v>
      </c>
      <c r="H12" s="44">
        <f t="shared" si="2"/>
        <v>0.31607863001422198</v>
      </c>
      <c r="I12" s="45">
        <f t="shared" si="3"/>
        <v>25762450</v>
      </c>
    </row>
    <row r="13" spans="1:9" x14ac:dyDescent="0.35">
      <c r="A13" s="8" t="s">
        <v>551</v>
      </c>
      <c r="B13" s="26">
        <v>8</v>
      </c>
      <c r="C13" s="26">
        <f>COUNTIFS('Dữ liệu sạch'!$C$2:$C$201,$B13,'Dữ liệu sạch'!$R$2:$R$201,"Hoàn thành")</f>
        <v>16</v>
      </c>
      <c r="D13" s="14">
        <f>SUMIFS('Dữ liệu sạch'!$W$2:$W$201,'Dữ liệu sạch'!$C$2:$C$201,$B13)</f>
        <v>19911000</v>
      </c>
      <c r="E13" s="14">
        <f>SUMIFS('Dữ liệu sạch'!$X$2:$X$201,'Dữ liệu sạch'!$C$2:$C$201,$B13)</f>
        <v>7441000</v>
      </c>
      <c r="F13" s="28">
        <f t="shared" si="0"/>
        <v>0.37371302295213699</v>
      </c>
      <c r="G13" s="14">
        <f t="shared" si="1"/>
        <v>1244437.5</v>
      </c>
      <c r="H13" s="44">
        <f t="shared" si="2"/>
        <v>-0.41050730537503888</v>
      </c>
      <c r="I13" s="45">
        <f t="shared" si="3"/>
        <v>26450666.666666668</v>
      </c>
    </row>
    <row r="14" spans="1:9" x14ac:dyDescent="0.35">
      <c r="A14" s="8" t="s">
        <v>552</v>
      </c>
      <c r="B14" s="26">
        <v>9</v>
      </c>
      <c r="C14" s="26">
        <f>COUNTIFS('Dữ liệu sạch'!$C$2:$C$201,$B14,'Dữ liệu sạch'!$R$2:$R$201,"Hoàn thành")</f>
        <v>15</v>
      </c>
      <c r="D14" s="14">
        <f>SUMIFS('Dữ liệu sạch'!$W$2:$W$201,'Dữ liệu sạch'!$C$2:$C$201,$B14)</f>
        <v>42028450</v>
      </c>
      <c r="E14" s="14">
        <f>SUMIFS('Dữ liệu sạch'!$X$2:$X$201,'Dữ liệu sạch'!$C$2:$C$201,$B14)</f>
        <v>15618450</v>
      </c>
      <c r="F14" s="28">
        <f t="shared" si="0"/>
        <v>0.37161613145381284</v>
      </c>
      <c r="G14" s="14">
        <f t="shared" si="1"/>
        <v>2801896.6666666665</v>
      </c>
      <c r="H14" s="44">
        <f t="shared" si="2"/>
        <v>1.1108156295515044</v>
      </c>
      <c r="I14" s="45">
        <f t="shared" si="3"/>
        <v>31905316.666666668</v>
      </c>
    </row>
    <row r="15" spans="1:9" x14ac:dyDescent="0.35">
      <c r="A15" s="8" t="s">
        <v>553</v>
      </c>
      <c r="B15" s="26">
        <v>10</v>
      </c>
      <c r="C15" s="26">
        <f>COUNTIFS('Dữ liệu sạch'!$C$2:$C$201,$B15,'Dữ liệu sạch'!$R$2:$R$201,"Hoàn thành")</f>
        <v>13</v>
      </c>
      <c r="D15" s="14">
        <f>SUMIFS('Dữ liệu sạch'!$W$2:$W$201,'Dữ liệu sạch'!$C$2:$C$201,$B15)</f>
        <v>34703050</v>
      </c>
      <c r="E15" s="14">
        <f>SUMIFS('Dữ liệu sạch'!$X$2:$X$201,'Dữ liệu sạch'!$C$2:$C$201,$B15)</f>
        <v>13223050</v>
      </c>
      <c r="F15" s="28">
        <f t="shared" si="0"/>
        <v>0.38103423186146462</v>
      </c>
      <c r="G15" s="14">
        <f t="shared" si="1"/>
        <v>2669465.3846153845</v>
      </c>
      <c r="H15" s="44">
        <f t="shared" si="2"/>
        <v>-0.17429622077426121</v>
      </c>
      <c r="I15" s="45">
        <f t="shared" si="3"/>
        <v>32214166.666666668</v>
      </c>
    </row>
    <row r="16" spans="1:9" x14ac:dyDescent="0.35">
      <c r="A16" s="8" t="s">
        <v>554</v>
      </c>
      <c r="B16" s="26">
        <v>11</v>
      </c>
      <c r="C16" s="26">
        <f>COUNTIFS('Dữ liệu sạch'!$C$2:$C$201,$B16,'Dữ liệu sạch'!$R$2:$R$201,"Hoàn thành")</f>
        <v>12</v>
      </c>
      <c r="D16" s="14">
        <f>SUMIFS('Dữ liệu sạch'!$W$2:$W$201,'Dữ liệu sạch'!$C$2:$C$201,$B16)</f>
        <v>15014200</v>
      </c>
      <c r="E16" s="14">
        <f>SUMIFS('Dữ liệu sạch'!$X$2:$X$201,'Dữ liệu sạch'!$C$2:$C$201,$B16)</f>
        <v>5874200</v>
      </c>
      <c r="F16" s="28">
        <f t="shared" si="0"/>
        <v>0.39124295666768794</v>
      </c>
      <c r="G16" s="14">
        <f t="shared" si="1"/>
        <v>1251183.3333333333</v>
      </c>
      <c r="H16" s="44">
        <f t="shared" si="2"/>
        <v>-0.56735214916268162</v>
      </c>
      <c r="I16" s="45">
        <f t="shared" si="3"/>
        <v>30581900</v>
      </c>
    </row>
    <row r="17" spans="1:9" x14ac:dyDescent="0.35">
      <c r="A17" s="8" t="s">
        <v>555</v>
      </c>
      <c r="B17" s="26">
        <v>12</v>
      </c>
      <c r="C17" s="26">
        <f>COUNTIFS('Dữ liệu sạch'!$C$2:$C$201,$B17,'Dữ liệu sạch'!$R$2:$R$201,"Hoàn thành")</f>
        <v>32</v>
      </c>
      <c r="D17" s="14">
        <f>SUMIFS('Dữ liệu sạch'!$W$2:$W$201,'Dữ liệu sạch'!$C$2:$C$201,$B17)</f>
        <v>64569600</v>
      </c>
      <c r="E17" s="14">
        <f>SUMIFS('Dữ liệu sạch'!$X$2:$X$201,'Dữ liệu sạch'!$C$2:$C$201,$B17)</f>
        <v>24499600</v>
      </c>
      <c r="F17" s="28">
        <f t="shared" si="0"/>
        <v>0.37942932897214787</v>
      </c>
      <c r="G17" s="14">
        <f t="shared" si="1"/>
        <v>2017800</v>
      </c>
      <c r="H17" s="44">
        <f t="shared" si="2"/>
        <v>3.3005687948741862</v>
      </c>
      <c r="I17" s="45">
        <f t="shared" si="3"/>
        <v>38095616.666666664</v>
      </c>
    </row>
    <row r="18" spans="1:9" x14ac:dyDescent="0.35">
      <c r="A18" s="30" t="s">
        <v>556</v>
      </c>
      <c r="B18" s="41"/>
      <c r="C18" s="41">
        <f>SUM(C6:C17)</f>
        <v>176</v>
      </c>
      <c r="D18" s="32">
        <f>SUM(D6:D17)</f>
        <v>346260650</v>
      </c>
      <c r="E18" s="32">
        <f>SUM(E6:E17)</f>
        <v>131000650</v>
      </c>
      <c r="F18" s="42">
        <f t="shared" si="0"/>
        <v>0.37832959072883388</v>
      </c>
      <c r="G18" s="32">
        <f t="shared" si="1"/>
        <v>1967390.0568181819</v>
      </c>
      <c r="H18" s="42"/>
      <c r="I18" s="32"/>
    </row>
    <row r="21" spans="1:9" ht="19.5" customHeight="1" x14ac:dyDescent="0.35">
      <c r="A21" s="5" t="s">
        <v>557</v>
      </c>
      <c r="B21" s="5"/>
      <c r="C21" s="5"/>
      <c r="D21" s="5"/>
      <c r="E21" s="5"/>
      <c r="F21" s="5"/>
      <c r="G21" s="5"/>
      <c r="H21" s="5"/>
      <c r="I21" s="5"/>
    </row>
    <row r="22" spans="1:9" ht="31.5" customHeight="1" x14ac:dyDescent="0.35">
      <c r="A22" s="9" t="s">
        <v>5</v>
      </c>
      <c r="B22" s="9" t="s">
        <v>538</v>
      </c>
      <c r="C22" s="9" t="s">
        <v>31</v>
      </c>
      <c r="D22" s="9" t="s">
        <v>33</v>
      </c>
      <c r="E22" s="9" t="s">
        <v>539</v>
      </c>
      <c r="F22" s="9" t="s">
        <v>558</v>
      </c>
      <c r="G22" s="9" t="s">
        <v>559</v>
      </c>
    </row>
    <row r="23" spans="1:9" x14ac:dyDescent="0.35">
      <c r="A23" s="8" t="s">
        <v>6</v>
      </c>
      <c r="B23" s="26">
        <f>COUNTIFS('Dữ liệu sạch'!$D$2:$D$201,$A23,'Dữ liệu sạch'!$R$2:$R$201,"Hoàn thành")</f>
        <v>35</v>
      </c>
      <c r="C23" s="14">
        <f>SUMIFS('Dữ liệu sạch'!$W$2:$W$201,'Dữ liệu sạch'!$D$2:$D$201,$A23)</f>
        <v>72692800</v>
      </c>
      <c r="D23" s="14">
        <f>SUMIFS('Dữ liệu sạch'!$X$2:$X$201,'Dữ liệu sạch'!$D$2:$D$201,$A23)</f>
        <v>24432800</v>
      </c>
      <c r="E23" s="28">
        <f>IF(C23=0,0,D23/C23)</f>
        <v>0.33611031628992144</v>
      </c>
      <c r="F23" s="44" t="s">
        <v>544</v>
      </c>
      <c r="G23" s="28">
        <f>C23/$C$27</f>
        <v>0.20993664743597057</v>
      </c>
    </row>
    <row r="24" spans="1:9" x14ac:dyDescent="0.35">
      <c r="A24" s="8" t="s">
        <v>560</v>
      </c>
      <c r="B24" s="26">
        <f>COUNTIFS('Dữ liệu sạch'!$D$2:$D$201,$A24,'Dữ liệu sạch'!$R$2:$R$201,"Hoàn thành")</f>
        <v>40</v>
      </c>
      <c r="C24" s="14">
        <f>SUMIFS('Dữ liệu sạch'!$W$2:$W$201,'Dữ liệu sạch'!$D$2:$D$201,$A24)</f>
        <v>63565050</v>
      </c>
      <c r="D24" s="14">
        <f>SUMIFS('Dữ liệu sạch'!$X$2:$X$201,'Dữ liệu sạch'!$D$2:$D$201,$A24)</f>
        <v>27235050</v>
      </c>
      <c r="E24" s="28">
        <f>IF(C24=0,0,D24/C24)</f>
        <v>0.4284595072292085</v>
      </c>
      <c r="F24" s="44">
        <f>IF(C23=0,0,C24/C23-1)</f>
        <v>-0.1255660808223098</v>
      </c>
      <c r="G24" s="28">
        <f>C24/$C$27</f>
        <v>0.18357572539646072</v>
      </c>
    </row>
    <row r="25" spans="1:9" x14ac:dyDescent="0.35">
      <c r="A25" s="8" t="s">
        <v>561</v>
      </c>
      <c r="B25" s="26">
        <f>COUNTIFS('Dữ liệu sạch'!$D$2:$D$201,$A25,'Dữ liệu sạch'!$R$2:$R$201,"Hoàn thành")</f>
        <v>44</v>
      </c>
      <c r="C25" s="14">
        <f>SUMIFS('Dữ liệu sạch'!$W$2:$W$201,'Dữ liệu sạch'!$D$2:$D$201,$A25)</f>
        <v>95715950</v>
      </c>
      <c r="D25" s="14">
        <f>SUMIFS('Dữ liệu sạch'!$X$2:$X$201,'Dữ liệu sạch'!$D$2:$D$201,$A25)</f>
        <v>35735950</v>
      </c>
      <c r="E25" s="28">
        <f>IF(C25=0,0,D25/C25)</f>
        <v>0.37335417973702395</v>
      </c>
      <c r="F25" s="44">
        <f>IF(C24=0,0,C25/C24-1)</f>
        <v>0.50579524439924151</v>
      </c>
      <c r="G25" s="28">
        <f>C25/$C$27</f>
        <v>0.27642745428913162</v>
      </c>
    </row>
    <row r="26" spans="1:9" x14ac:dyDescent="0.35">
      <c r="A26" s="8" t="s">
        <v>562</v>
      </c>
      <c r="B26" s="26">
        <f>COUNTIFS('Dữ liệu sạch'!$D$2:$D$201,$A26,'Dữ liệu sạch'!$R$2:$R$201,"Hoàn thành")</f>
        <v>57</v>
      </c>
      <c r="C26" s="14">
        <f>SUMIFS('Dữ liệu sạch'!$W$2:$W$201,'Dữ liệu sạch'!$D$2:$D$201,$A26)</f>
        <v>114286850</v>
      </c>
      <c r="D26" s="14">
        <f>SUMIFS('Dữ liệu sạch'!$X$2:$X$201,'Dữ liệu sạch'!$D$2:$D$201,$A26)</f>
        <v>43596850</v>
      </c>
      <c r="E26" s="28">
        <f>IF(C26=0,0,D26/C26)</f>
        <v>0.38146864665532387</v>
      </c>
      <c r="F26" s="44">
        <f>IF(C25=0,0,C26/C25-1)</f>
        <v>0.19402095471026515</v>
      </c>
      <c r="G26" s="28">
        <f>C26/$C$27</f>
        <v>0.33006017287843709</v>
      </c>
    </row>
    <row r="27" spans="1:9" x14ac:dyDescent="0.35">
      <c r="A27" s="30" t="s">
        <v>556</v>
      </c>
      <c r="B27" s="41">
        <f>SUM(B23:B26)</f>
        <v>176</v>
      </c>
      <c r="C27" s="32">
        <f>SUM(C23:C26)</f>
        <v>346260650</v>
      </c>
      <c r="D27" s="32">
        <f>SUM(D23:D26)</f>
        <v>131000650</v>
      </c>
      <c r="E27" s="42">
        <f>IF(C27=0,0,D27/C27)</f>
        <v>0.37832959072883388</v>
      </c>
      <c r="F27" s="42"/>
      <c r="G27" s="42">
        <f>SUM(G23:G26)</f>
        <v>1</v>
      </c>
    </row>
    <row r="30" spans="1:9" ht="19.5" customHeight="1" x14ac:dyDescent="0.35">
      <c r="A30" s="5" t="s">
        <v>563</v>
      </c>
      <c r="B30" s="5"/>
      <c r="C30" s="5"/>
      <c r="D30" s="5"/>
      <c r="E30" s="5"/>
      <c r="F30" s="5"/>
      <c r="G30" s="5"/>
      <c r="H30" s="5"/>
      <c r="I30" s="5"/>
    </row>
    <row r="31" spans="1:9" ht="31.5" customHeight="1" x14ac:dyDescent="0.35">
      <c r="A31" s="9" t="s">
        <v>564</v>
      </c>
      <c r="B31" s="9" t="s">
        <v>565</v>
      </c>
      <c r="C31" s="9" t="s">
        <v>538</v>
      </c>
      <c r="D31" s="9" t="s">
        <v>31</v>
      </c>
      <c r="E31" s="9" t="s">
        <v>566</v>
      </c>
      <c r="F31" s="9" t="s">
        <v>567</v>
      </c>
    </row>
    <row r="32" spans="1:9" x14ac:dyDescent="0.35">
      <c r="A32" s="8" t="s">
        <v>568</v>
      </c>
      <c r="B32" s="26">
        <v>1</v>
      </c>
      <c r="C32" s="26">
        <f>COUNTIFS('Dữ liệu sạch'!$Y$2:$Y$201,$B32,'Dữ liệu sạch'!$R$2:$R$201,"Hoàn thành")</f>
        <v>26</v>
      </c>
      <c r="D32" s="14">
        <f>SUMIFS('Dữ liệu sạch'!$W$2:$W$201,'Dữ liệu sạch'!$Y$2:$Y$201,$B32)</f>
        <v>50316850</v>
      </c>
      <c r="E32" s="28">
        <f t="shared" ref="E32:E38" si="4">D32/$D$39</f>
        <v>0.14531495276751777</v>
      </c>
      <c r="F32" s="14">
        <f t="shared" ref="F32:F39" si="5">IF(C32=0,0,D32/C32)</f>
        <v>1935263.4615384615</v>
      </c>
    </row>
    <row r="33" spans="1:9" x14ac:dyDescent="0.35">
      <c r="A33" s="8" t="s">
        <v>569</v>
      </c>
      <c r="B33" s="26">
        <v>2</v>
      </c>
      <c r="C33" s="26">
        <f>COUNTIFS('Dữ liệu sạch'!$Y$2:$Y$201,$B33,'Dữ liệu sạch'!$R$2:$R$201,"Hoàn thành")</f>
        <v>22</v>
      </c>
      <c r="D33" s="14">
        <f>SUMIFS('Dữ liệu sạch'!$W$2:$W$201,'Dữ liệu sạch'!$Y$2:$Y$201,$B33)</f>
        <v>37562300</v>
      </c>
      <c r="E33" s="28">
        <f t="shared" si="4"/>
        <v>0.10847984025906496</v>
      </c>
      <c r="F33" s="14">
        <f t="shared" si="5"/>
        <v>1707377.2727272727</v>
      </c>
    </row>
    <row r="34" spans="1:9" x14ac:dyDescent="0.35">
      <c r="A34" s="8" t="s">
        <v>570</v>
      </c>
      <c r="B34" s="26">
        <v>3</v>
      </c>
      <c r="C34" s="26">
        <f>COUNTIFS('Dữ liệu sạch'!$Y$2:$Y$201,$B34,'Dữ liệu sạch'!$R$2:$R$201,"Hoàn thành")</f>
        <v>25</v>
      </c>
      <c r="D34" s="14">
        <f>SUMIFS('Dữ liệu sạch'!$W$2:$W$201,'Dữ liệu sạch'!$Y$2:$Y$201,$B34)</f>
        <v>53645700</v>
      </c>
      <c r="E34" s="28">
        <f t="shared" si="4"/>
        <v>0.15492866428801541</v>
      </c>
      <c r="F34" s="14">
        <f t="shared" si="5"/>
        <v>2145828</v>
      </c>
    </row>
    <row r="35" spans="1:9" x14ac:dyDescent="0.35">
      <c r="A35" s="8" t="s">
        <v>571</v>
      </c>
      <c r="B35" s="26">
        <v>4</v>
      </c>
      <c r="C35" s="26">
        <f>COUNTIFS('Dữ liệu sạch'!$Y$2:$Y$201,$B35,'Dữ liệu sạch'!$R$2:$R$201,"Hoàn thành")</f>
        <v>31</v>
      </c>
      <c r="D35" s="14">
        <f>SUMIFS('Dữ liệu sạch'!$W$2:$W$201,'Dữ liệu sạch'!$Y$2:$Y$201,$B35)</f>
        <v>74583700</v>
      </c>
      <c r="E35" s="28">
        <f t="shared" si="4"/>
        <v>0.21539756250096567</v>
      </c>
      <c r="F35" s="14">
        <f t="shared" si="5"/>
        <v>2405925.8064516131</v>
      </c>
    </row>
    <row r="36" spans="1:9" x14ac:dyDescent="0.35">
      <c r="A36" s="8" t="s">
        <v>572</v>
      </c>
      <c r="B36" s="26">
        <v>5</v>
      </c>
      <c r="C36" s="26">
        <f>COUNTIFS('Dữ liệu sạch'!$Y$2:$Y$201,$B36,'Dữ liệu sạch'!$R$2:$R$201,"Hoàn thành")</f>
        <v>26</v>
      </c>
      <c r="D36" s="14">
        <f>SUMIFS('Dữ liệu sạch'!$W$2:$W$201,'Dữ liệu sạch'!$Y$2:$Y$201,$B36)</f>
        <v>60623800</v>
      </c>
      <c r="E36" s="28">
        <f t="shared" si="4"/>
        <v>0.17508140182836254</v>
      </c>
      <c r="F36" s="14">
        <f t="shared" si="5"/>
        <v>2331684.6153846155</v>
      </c>
    </row>
    <row r="37" spans="1:9" x14ac:dyDescent="0.35">
      <c r="A37" s="8" t="s">
        <v>573</v>
      </c>
      <c r="B37" s="26">
        <v>6</v>
      </c>
      <c r="C37" s="26">
        <f>COUNTIFS('Dữ liệu sạch'!$Y$2:$Y$201,$B37,'Dữ liệu sạch'!$R$2:$R$201,"Hoàn thành")</f>
        <v>20</v>
      </c>
      <c r="D37" s="14">
        <f>SUMIFS('Dữ liệu sạch'!$W$2:$W$201,'Dữ liệu sạch'!$Y$2:$Y$201,$B37)</f>
        <v>35486500</v>
      </c>
      <c r="E37" s="28">
        <f t="shared" si="4"/>
        <v>0.10248493439840767</v>
      </c>
      <c r="F37" s="14">
        <f t="shared" si="5"/>
        <v>1774325</v>
      </c>
    </row>
    <row r="38" spans="1:9" x14ac:dyDescent="0.35">
      <c r="A38" s="8" t="s">
        <v>574</v>
      </c>
      <c r="B38" s="26">
        <v>7</v>
      </c>
      <c r="C38" s="26">
        <f>COUNTIFS('Dữ liệu sạch'!$Y$2:$Y$201,$B38,'Dữ liệu sạch'!$R$2:$R$201,"Hoàn thành")</f>
        <v>26</v>
      </c>
      <c r="D38" s="14">
        <f>SUMIFS('Dữ liệu sạch'!$W$2:$W$201,'Dữ liệu sạch'!$Y$2:$Y$201,$B38)</f>
        <v>34041800</v>
      </c>
      <c r="E38" s="28">
        <f t="shared" si="4"/>
        <v>9.8312643957665993E-2</v>
      </c>
      <c r="F38" s="14">
        <f t="shared" si="5"/>
        <v>1309300</v>
      </c>
    </row>
    <row r="39" spans="1:9" x14ac:dyDescent="0.35">
      <c r="A39" s="30" t="s">
        <v>498</v>
      </c>
      <c r="B39" s="41"/>
      <c r="C39" s="41">
        <f>SUM(C32:C38)</f>
        <v>176</v>
      </c>
      <c r="D39" s="32">
        <f>SUM(D32:D38)</f>
        <v>346260650</v>
      </c>
      <c r="E39" s="42">
        <f>SUM(E32:E38)</f>
        <v>1</v>
      </c>
      <c r="F39" s="32">
        <f t="shared" si="5"/>
        <v>1967390.0568181819</v>
      </c>
    </row>
    <row r="42" spans="1:9" ht="19.5" customHeight="1" x14ac:dyDescent="0.35">
      <c r="A42" s="5" t="s">
        <v>575</v>
      </c>
      <c r="B42" s="5"/>
      <c r="C42" s="5"/>
      <c r="D42" s="5"/>
      <c r="E42" s="5"/>
      <c r="F42" s="5"/>
      <c r="G42" s="5"/>
      <c r="H42" s="5"/>
      <c r="I42" s="5"/>
    </row>
    <row r="43" spans="1:9" ht="31.5" customHeight="1" x14ac:dyDescent="0.35">
      <c r="A43" s="9" t="s">
        <v>576</v>
      </c>
      <c r="B43" s="9" t="s">
        <v>577</v>
      </c>
      <c r="C43" s="9" t="s">
        <v>578</v>
      </c>
    </row>
    <row r="44" spans="1:9" x14ac:dyDescent="0.35">
      <c r="A44" s="8" t="s">
        <v>579</v>
      </c>
      <c r="B44" s="26">
        <v>13</v>
      </c>
      <c r="C44" s="14">
        <f>FORECAST(B44,$D$6:$D$17,$B$6:$B$17)</f>
        <v>43265021.212121211</v>
      </c>
    </row>
    <row r="45" spans="1:9" x14ac:dyDescent="0.35">
      <c r="A45" s="8" t="s">
        <v>580</v>
      </c>
      <c r="B45" s="26">
        <v>14</v>
      </c>
      <c r="C45" s="14">
        <f>FORECAST(B45,$D$6:$D$17,$B$6:$B$17)</f>
        <v>45481939.219114222</v>
      </c>
    </row>
    <row r="46" spans="1:9" x14ac:dyDescent="0.35">
      <c r="A46" s="8" t="s">
        <v>581</v>
      </c>
      <c r="B46" s="26">
        <v>15</v>
      </c>
      <c r="C46" s="14">
        <f>FORECAST(B46,$D$6:$D$17,$B$6:$B$17)</f>
        <v>47698857.226107225</v>
      </c>
    </row>
    <row r="47" spans="1:9" x14ac:dyDescent="0.35">
      <c r="A47" s="8" t="s">
        <v>582</v>
      </c>
      <c r="B47" s="26"/>
      <c r="C47" s="46">
        <f>RSQ(D6:D17,B6:B17)</f>
        <v>0.22817829491756086</v>
      </c>
    </row>
    <row r="48" spans="1:9" ht="30" customHeight="1" x14ac:dyDescent="0.35">
      <c r="A48" s="1"/>
      <c r="B48" s="1"/>
      <c r="C48" s="1"/>
      <c r="D48" s="1"/>
      <c r="E48" s="1"/>
      <c r="F48" s="1"/>
      <c r="G48" s="1"/>
      <c r="H48" s="1"/>
      <c r="I48" s="1"/>
    </row>
  </sheetData>
  <mergeCells count="7">
    <mergeCell ref="A42:I42"/>
    <mergeCell ref="A48:I48"/>
    <mergeCell ref="A1:I1"/>
    <mergeCell ref="A2:I2"/>
    <mergeCell ref="A4:I4"/>
    <mergeCell ref="A21:I21"/>
    <mergeCell ref="A30:I30"/>
  </mergeCells>
  <conditionalFormatting sqref="D6:D17">
    <cfRule type="dataBar" priority="2">
      <dataBar>
        <cfvo type="num" val="0"/>
        <cfvo type="max"/>
        <color rgb="FF8FAADC"/>
      </dataBar>
      <extLst>
        <ext xmlns:x14="http://schemas.microsoft.com/office/spreadsheetml/2009/9/main" uri="{B025F937-C7B1-47D3-B67F-A62EFF666E3E}">
          <x14:id>{EBC0A387-3F96-4966-809F-81429D947FBF}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C0A387-3F96-4966-809F-81429D947FBF}">
            <x14:dataBar axisPosition="none">
              <x14:cfvo type="num">
                <xm:f>0</xm:f>
              </x14:cfvo>
              <x14:cfvo type="max"/>
              <x14:negativeFillColor rgb="FF8FAADC"/>
            </x14:dataBar>
          </x14:cfRule>
          <xm:sqref>D6:D17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F5597"/>
  </sheetPr>
  <dimension ref="A1:H56"/>
  <sheetViews>
    <sheetView showGridLines="0" topLeftCell="A49" zoomScaleNormal="100" workbookViewId="0">
      <selection activeCell="A36" sqref="A36:H36"/>
    </sheetView>
  </sheetViews>
  <sheetFormatPr defaultColWidth="8.6328125" defaultRowHeight="14.5" x14ac:dyDescent="0.35"/>
  <cols>
    <col min="1" max="1" width="26" customWidth="1"/>
    <col min="2" max="3" width="16" customWidth="1"/>
    <col min="4" max="4" width="17" customWidth="1"/>
    <col min="5" max="5" width="14" customWidth="1"/>
    <col min="6" max="6" width="17" customWidth="1"/>
    <col min="7" max="7" width="16" customWidth="1"/>
    <col min="8" max="8" width="12" customWidth="1"/>
  </cols>
  <sheetData>
    <row r="1" spans="1:8" ht="31.5" customHeight="1" x14ac:dyDescent="0.35">
      <c r="A1" s="7"/>
      <c r="B1" s="7"/>
      <c r="C1" s="7"/>
      <c r="D1" s="7"/>
      <c r="E1" s="7"/>
      <c r="F1" s="7"/>
      <c r="G1" s="7"/>
      <c r="H1" s="7"/>
    </row>
    <row r="2" spans="1:8" ht="30" customHeight="1" x14ac:dyDescent="0.35">
      <c r="A2" s="6"/>
      <c r="B2" s="6"/>
      <c r="C2" s="6"/>
      <c r="D2" s="6"/>
      <c r="E2" s="6"/>
      <c r="F2" s="6"/>
      <c r="G2" s="6"/>
      <c r="H2" s="6"/>
    </row>
    <row r="4" spans="1:8" ht="19.5" customHeight="1" x14ac:dyDescent="0.35">
      <c r="A4" s="5" t="s">
        <v>583</v>
      </c>
      <c r="B4" s="5"/>
      <c r="C4" s="5"/>
      <c r="D4" s="5"/>
      <c r="E4" s="5"/>
      <c r="F4" s="5"/>
      <c r="G4" s="5"/>
      <c r="H4" s="5"/>
    </row>
    <row r="5" spans="1:8" ht="31.5" customHeight="1" x14ac:dyDescent="0.35">
      <c r="A5" s="9" t="s">
        <v>17</v>
      </c>
      <c r="B5" s="9" t="s">
        <v>538</v>
      </c>
      <c r="C5" s="9" t="s">
        <v>584</v>
      </c>
      <c r="D5" s="9" t="s">
        <v>31</v>
      </c>
      <c r="E5" s="9" t="s">
        <v>566</v>
      </c>
      <c r="F5" s="9" t="s">
        <v>33</v>
      </c>
      <c r="G5" s="9" t="s">
        <v>539</v>
      </c>
    </row>
    <row r="6" spans="1:8" x14ac:dyDescent="0.35">
      <c r="A6" s="8" t="s">
        <v>54</v>
      </c>
      <c r="B6" s="26">
        <f>COUNTIFS('Dữ liệu sạch'!$J$2:$J$201,$A6,'Dữ liệu sạch'!$R$2:$R$201,"Hoàn thành")</f>
        <v>41</v>
      </c>
      <c r="C6" s="27">
        <f>SUMIFS('Dữ liệu sạch'!$N$2:$N$201,'Dữ liệu sạch'!$J$2:$J$201,$A6,'Dữ liệu sạch'!$R$2:$R$201,"Hoàn thành")</f>
        <v>101</v>
      </c>
      <c r="D6" s="14">
        <f>SUMIFS('Dữ liệu sạch'!$W$2:$W$201,'Dữ liệu sạch'!$J$2:$J$201,$A6)</f>
        <v>100920800</v>
      </c>
      <c r="E6" s="28">
        <f>D6/$D$11</f>
        <v>0.29145904970720754</v>
      </c>
      <c r="F6" s="14">
        <f>SUMIFS('Dữ liệu sạch'!$X$2:$X$201,'Dữ liệu sạch'!$J$2:$J$201,$A6)</f>
        <v>33150800</v>
      </c>
      <c r="G6" s="28">
        <f t="shared" ref="G6:G11" si="0">IF(D6=0,0,F6/D6)</f>
        <v>0.32848332553844201</v>
      </c>
    </row>
    <row r="7" spans="1:8" x14ac:dyDescent="0.35">
      <c r="A7" s="8" t="s">
        <v>65</v>
      </c>
      <c r="B7" s="26">
        <f>COUNTIFS('Dữ liệu sạch'!$J$2:$J$201,$A7,'Dữ liệu sạch'!$R$2:$R$201,"Hoàn thành")</f>
        <v>29</v>
      </c>
      <c r="C7" s="27">
        <f>SUMIFS('Dữ liệu sạch'!$N$2:$N$201,'Dữ liệu sạch'!$J$2:$J$201,$A7,'Dữ liệu sạch'!$R$2:$R$201,"Hoàn thành")</f>
        <v>62</v>
      </c>
      <c r="D7" s="14">
        <f>SUMIFS('Dữ liệu sạch'!$W$2:$W$201,'Dữ liệu sạch'!$J$2:$J$201,$A7)</f>
        <v>83303300</v>
      </c>
      <c r="E7" s="28">
        <f>D7/$D$11</f>
        <v>0.24057974823301465</v>
      </c>
      <c r="F7" s="14">
        <f>SUMIFS('Dữ liệu sạch'!$X$2:$X$201,'Dữ liệu sạch'!$J$2:$J$201,$A7)</f>
        <v>26883300</v>
      </c>
      <c r="G7" s="28">
        <f t="shared" si="0"/>
        <v>0.32271590681281531</v>
      </c>
    </row>
    <row r="8" spans="1:8" x14ac:dyDescent="0.35">
      <c r="A8" s="8" t="s">
        <v>18</v>
      </c>
      <c r="B8" s="26">
        <f>COUNTIFS('Dữ liệu sạch'!$J$2:$J$201,$A8,'Dữ liệu sạch'!$R$2:$R$201,"Hoàn thành")</f>
        <v>55</v>
      </c>
      <c r="C8" s="27">
        <f>SUMIFS('Dữ liệu sạch'!$N$2:$N$201,'Dữ liệu sạch'!$J$2:$J$201,$A8,'Dữ liệu sạch'!$R$2:$R$201,"Hoàn thành")</f>
        <v>146</v>
      </c>
      <c r="D8" s="14">
        <f>SUMIFS('Dữ liệu sạch'!$W$2:$W$201,'Dữ liệu sạch'!$J$2:$J$201,$A8)</f>
        <v>129392600</v>
      </c>
      <c r="E8" s="28">
        <f>D8/$D$11</f>
        <v>0.37368554584530467</v>
      </c>
      <c r="F8" s="14">
        <f>SUMIFS('Dữ liệu sạch'!$X$2:$X$201,'Dữ liệu sạch'!$J$2:$J$201,$A8)</f>
        <v>56562600</v>
      </c>
      <c r="G8" s="28">
        <f t="shared" si="0"/>
        <v>0.43713937273074349</v>
      </c>
    </row>
    <row r="9" spans="1:8" x14ac:dyDescent="0.35">
      <c r="A9" s="8" t="s">
        <v>43</v>
      </c>
      <c r="B9" s="26">
        <f>COUNTIFS('Dữ liệu sạch'!$J$2:$J$201,$A9,'Dữ liệu sạch'!$R$2:$R$201,"Hoàn thành")</f>
        <v>29</v>
      </c>
      <c r="C9" s="27">
        <f>SUMIFS('Dữ liệu sạch'!$N$2:$N$201,'Dữ liệu sạch'!$J$2:$J$201,$A9,'Dữ liệu sạch'!$R$2:$R$201,"Hoàn thành")</f>
        <v>58</v>
      </c>
      <c r="D9" s="14">
        <f>SUMIFS('Dữ liệu sạch'!$W$2:$W$201,'Dữ liệu sạch'!$J$2:$J$201,$A9)</f>
        <v>19240500</v>
      </c>
      <c r="E9" s="28">
        <f>D9/$D$11</f>
        <v>5.5566521925029595E-2</v>
      </c>
      <c r="F9" s="14">
        <f>SUMIFS('Dữ liệu sạch'!$X$2:$X$201,'Dữ liệu sạch'!$J$2:$J$201,$A9)</f>
        <v>10010500</v>
      </c>
      <c r="G9" s="28">
        <f t="shared" si="0"/>
        <v>0.52028273693511085</v>
      </c>
    </row>
    <row r="10" spans="1:8" x14ac:dyDescent="0.35">
      <c r="A10" s="8" t="s">
        <v>71</v>
      </c>
      <c r="B10" s="26">
        <f>COUNTIFS('Dữ liệu sạch'!$J$2:$J$201,$A10,'Dữ liệu sạch'!$R$2:$R$201,"Hoàn thành")</f>
        <v>22</v>
      </c>
      <c r="C10" s="27">
        <f>SUMIFS('Dữ liệu sạch'!$N$2:$N$201,'Dữ liệu sạch'!$J$2:$J$201,$A10,'Dữ liệu sạch'!$R$2:$R$201,"Hoàn thành")</f>
        <v>46</v>
      </c>
      <c r="D10" s="14">
        <f>SUMIFS('Dữ liệu sạch'!$W$2:$W$201,'Dữ liệu sạch'!$J$2:$J$201,$A10)</f>
        <v>13403450</v>
      </c>
      <c r="E10" s="28">
        <f>D10/$D$11</f>
        <v>3.8709134289443517E-2</v>
      </c>
      <c r="F10" s="14">
        <f>SUMIFS('Dữ liệu sạch'!$X$2:$X$201,'Dữ liệu sạch'!$J$2:$J$201,$A10)</f>
        <v>4393450</v>
      </c>
      <c r="G10" s="28">
        <f t="shared" si="0"/>
        <v>0.32778501057563536</v>
      </c>
    </row>
    <row r="11" spans="1:8" x14ac:dyDescent="0.35">
      <c r="A11" s="30" t="s">
        <v>498</v>
      </c>
      <c r="B11" s="41">
        <f>SUM(B6:B10)</f>
        <v>176</v>
      </c>
      <c r="C11" s="32">
        <f>SUM(C6:C10)</f>
        <v>413</v>
      </c>
      <c r="D11" s="32">
        <f>SUM(D6:D10)</f>
        <v>346260650</v>
      </c>
      <c r="E11" s="42">
        <f>SUM(E6:E10)</f>
        <v>1</v>
      </c>
      <c r="F11" s="32">
        <f>SUM(F6:F10)</f>
        <v>131000650</v>
      </c>
      <c r="G11" s="42">
        <f t="shared" si="0"/>
        <v>0.37832959072883388</v>
      </c>
    </row>
    <row r="13" spans="1:8" ht="19.5" customHeight="1" x14ac:dyDescent="0.35">
      <c r="A13" s="5" t="s">
        <v>585</v>
      </c>
      <c r="B13" s="5"/>
      <c r="C13" s="5"/>
      <c r="D13" s="5"/>
      <c r="E13" s="5"/>
      <c r="F13" s="5"/>
      <c r="G13" s="5"/>
      <c r="H13" s="5"/>
    </row>
    <row r="14" spans="1:8" ht="31.5" customHeight="1" x14ac:dyDescent="0.35">
      <c r="A14" s="9" t="s">
        <v>19</v>
      </c>
      <c r="B14" s="9" t="s">
        <v>17</v>
      </c>
      <c r="C14" s="9" t="s">
        <v>584</v>
      </c>
      <c r="D14" s="9" t="s">
        <v>31</v>
      </c>
      <c r="E14" s="9" t="s">
        <v>33</v>
      </c>
      <c r="F14" s="9" t="s">
        <v>539</v>
      </c>
      <c r="G14" s="9" t="s">
        <v>586</v>
      </c>
    </row>
    <row r="15" spans="1:8" x14ac:dyDescent="0.35">
      <c r="A15" s="8" t="s">
        <v>55</v>
      </c>
      <c r="B15" s="8" t="s">
        <v>54</v>
      </c>
      <c r="C15" s="27">
        <f>SUMIFS('Dữ liệu sạch'!$N$2:$N$201,'Dữ liệu sạch'!$K$2:$K$201,$A15,'Dữ liệu sạch'!$R$2:$R$201,"Hoàn thành")</f>
        <v>14</v>
      </c>
      <c r="D15" s="14">
        <f>SUMIFS('Dữ liệu sạch'!$W$2:$W$201,'Dữ liệu sạch'!$K$2:$K$201,$A15)</f>
        <v>10812800</v>
      </c>
      <c r="E15" s="14">
        <f>SUMIFS('Dữ liệu sạch'!$X$2:$X$201,'Dữ liệu sạch'!$K$2:$K$201,$A15)</f>
        <v>3532800</v>
      </c>
      <c r="F15" s="28">
        <f t="shared" ref="F15:F34" si="1">IF(D15=0,0,E15/D15)</f>
        <v>0.3267238828055638</v>
      </c>
      <c r="G15" s="47">
        <f t="shared" ref="G15:G33" si="2">D15+ROW()/1000000</f>
        <v>10812800.000015</v>
      </c>
    </row>
    <row r="16" spans="1:8" x14ac:dyDescent="0.35">
      <c r="A16" s="8" t="s">
        <v>75</v>
      </c>
      <c r="B16" s="8" t="s">
        <v>54</v>
      </c>
      <c r="C16" s="27">
        <f>SUMIFS('Dữ liệu sạch'!$N$2:$N$201,'Dữ liệu sạch'!$K$2:$K$201,$A16,'Dữ liệu sạch'!$R$2:$R$201,"Hoàn thành")</f>
        <v>25</v>
      </c>
      <c r="D16" s="14">
        <f>SUMIFS('Dữ liệu sạch'!$W$2:$W$201,'Dữ liệu sạch'!$K$2:$K$201,$A16)</f>
        <v>42892500</v>
      </c>
      <c r="E16" s="14">
        <f>SUMIFS('Dữ liệu sạch'!$X$2:$X$201,'Dữ liệu sạch'!$K$2:$K$201,$A16)</f>
        <v>12892500</v>
      </c>
      <c r="F16" s="28">
        <f t="shared" si="1"/>
        <v>0.30057702395523694</v>
      </c>
      <c r="G16" s="47">
        <f t="shared" si="2"/>
        <v>42892500.000015996</v>
      </c>
    </row>
    <row r="17" spans="1:7" x14ac:dyDescent="0.35">
      <c r="A17" s="8" t="s">
        <v>136</v>
      </c>
      <c r="B17" s="8" t="s">
        <v>54</v>
      </c>
      <c r="C17" s="27">
        <f>SUMIFS('Dữ liệu sạch'!$N$2:$N$201,'Dữ liệu sạch'!$K$2:$K$201,$A17,'Dữ liệu sạch'!$R$2:$R$201,"Hoàn thành")</f>
        <v>27</v>
      </c>
      <c r="D17" s="14">
        <f>SUMIFS('Dữ liệu sạch'!$W$2:$W$201,'Dữ liệu sạch'!$K$2:$K$201,$A17)</f>
        <v>29013000</v>
      </c>
      <c r="E17" s="14">
        <f>SUMIFS('Dữ liệu sạch'!$X$2:$X$201,'Dữ liệu sạch'!$K$2:$K$201,$A17)</f>
        <v>9573000</v>
      </c>
      <c r="F17" s="28">
        <f t="shared" si="1"/>
        <v>0.32995553717299142</v>
      </c>
      <c r="G17" s="47">
        <f t="shared" si="2"/>
        <v>29013000.000016998</v>
      </c>
    </row>
    <row r="18" spans="1:7" x14ac:dyDescent="0.35">
      <c r="A18" s="8" t="s">
        <v>220</v>
      </c>
      <c r="B18" s="8" t="s">
        <v>54</v>
      </c>
      <c r="C18" s="27">
        <f>SUMIFS('Dữ liệu sạch'!$N$2:$N$201,'Dữ liệu sạch'!$K$2:$K$201,$A18,'Dữ liệu sạch'!$R$2:$R$201,"Hoàn thành")</f>
        <v>22</v>
      </c>
      <c r="D18" s="14">
        <f>SUMIFS('Dữ liệu sạch'!$W$2:$W$201,'Dữ liệu sạch'!$K$2:$K$201,$A18)</f>
        <v>9422800</v>
      </c>
      <c r="E18" s="14">
        <f>SUMIFS('Dữ liệu sạch'!$X$2:$X$201,'Dữ liệu sạch'!$K$2:$K$201,$A18)</f>
        <v>3702800</v>
      </c>
      <c r="F18" s="28">
        <f t="shared" si="1"/>
        <v>0.39296175234537506</v>
      </c>
      <c r="G18" s="47">
        <f t="shared" si="2"/>
        <v>9422800.0000180006</v>
      </c>
    </row>
    <row r="19" spans="1:7" x14ac:dyDescent="0.35">
      <c r="A19" s="8" t="s">
        <v>131</v>
      </c>
      <c r="B19" s="8" t="s">
        <v>54</v>
      </c>
      <c r="C19" s="27">
        <f>SUMIFS('Dữ liệu sạch'!$N$2:$N$201,'Dữ liệu sạch'!$K$2:$K$201,$A19,'Dữ liệu sạch'!$R$2:$R$201,"Hoàn thành")</f>
        <v>13</v>
      </c>
      <c r="D19" s="14">
        <f>SUMIFS('Dữ liệu sạch'!$W$2:$W$201,'Dữ liệu sạch'!$K$2:$K$201,$A19)</f>
        <v>8779700</v>
      </c>
      <c r="E19" s="14">
        <f>SUMIFS('Dữ liệu sạch'!$X$2:$X$201,'Dữ liệu sạch'!$K$2:$K$201,$A19)</f>
        <v>3449700</v>
      </c>
      <c r="F19" s="28">
        <f t="shared" si="1"/>
        <v>0.39291775345399044</v>
      </c>
      <c r="G19" s="47">
        <f t="shared" si="2"/>
        <v>8779700.0000190008</v>
      </c>
    </row>
    <row r="20" spans="1:7" x14ac:dyDescent="0.35">
      <c r="A20" s="8" t="s">
        <v>262</v>
      </c>
      <c r="B20" s="8" t="s">
        <v>65</v>
      </c>
      <c r="C20" s="27">
        <f>SUMIFS('Dữ liệu sạch'!$N$2:$N$201,'Dữ liệu sạch'!$K$2:$K$201,$A20,'Dữ liệu sạch'!$R$2:$R$201,"Hoàn thành")</f>
        <v>18</v>
      </c>
      <c r="D20" s="14">
        <f>SUMIFS('Dữ liệu sạch'!$W$2:$W$201,'Dữ liệu sạch'!$K$2:$K$201,$A20)</f>
        <v>40296000</v>
      </c>
      <c r="E20" s="14">
        <f>SUMIFS('Dữ liệu sạch'!$X$2:$X$201,'Dữ liệu sạch'!$K$2:$K$201,$A20)</f>
        <v>12396000</v>
      </c>
      <c r="F20" s="28">
        <f t="shared" si="1"/>
        <v>0.30762358546754021</v>
      </c>
      <c r="G20" s="47">
        <f t="shared" si="2"/>
        <v>40296000.000019997</v>
      </c>
    </row>
    <row r="21" spans="1:7" x14ac:dyDescent="0.35">
      <c r="A21" s="8" t="s">
        <v>140</v>
      </c>
      <c r="B21" s="8" t="s">
        <v>65</v>
      </c>
      <c r="C21" s="27">
        <f>SUMIFS('Dữ liệu sạch'!$N$2:$N$201,'Dữ liệu sạch'!$K$2:$K$201,$A21,'Dữ liệu sạch'!$R$2:$R$201,"Hoàn thành")</f>
        <v>14</v>
      </c>
      <c r="D21" s="14">
        <f>SUMIFS('Dữ liệu sạch'!$W$2:$W$201,'Dữ liệu sạch'!$K$2:$K$201,$A21)</f>
        <v>20320000</v>
      </c>
      <c r="E21" s="14">
        <f>SUMIFS('Dữ liệu sạch'!$X$2:$X$201,'Dữ liệu sạch'!$K$2:$K$201,$A21)</f>
        <v>6320000</v>
      </c>
      <c r="F21" s="28">
        <f t="shared" si="1"/>
        <v>0.3110236220472441</v>
      </c>
      <c r="G21" s="47">
        <f t="shared" si="2"/>
        <v>20320000.000020999</v>
      </c>
    </row>
    <row r="22" spans="1:7" x14ac:dyDescent="0.35">
      <c r="A22" s="8" t="s">
        <v>66</v>
      </c>
      <c r="B22" s="8" t="s">
        <v>65</v>
      </c>
      <c r="C22" s="27">
        <f>SUMIFS('Dữ liệu sạch'!$N$2:$N$201,'Dữ liệu sạch'!$K$2:$K$201,$A22,'Dữ liệu sạch'!$R$2:$R$201,"Hoàn thành")</f>
        <v>12</v>
      </c>
      <c r="D22" s="14">
        <f>SUMIFS('Dữ liệu sạch'!$W$2:$W$201,'Dữ liệu sạch'!$K$2:$K$201,$A22)</f>
        <v>5738200</v>
      </c>
      <c r="E22" s="14">
        <f>SUMIFS('Dữ liệu sạch'!$X$2:$X$201,'Dữ liệu sạch'!$K$2:$K$201,$A22)</f>
        <v>2018200</v>
      </c>
      <c r="F22" s="28">
        <f t="shared" si="1"/>
        <v>0.35171308075703184</v>
      </c>
      <c r="G22" s="47">
        <f t="shared" si="2"/>
        <v>5738200.0000219997</v>
      </c>
    </row>
    <row r="23" spans="1:7" x14ac:dyDescent="0.35">
      <c r="A23" s="8" t="s">
        <v>201</v>
      </c>
      <c r="B23" s="8" t="s">
        <v>65</v>
      </c>
      <c r="C23" s="27">
        <f>SUMIFS('Dữ liệu sạch'!$N$2:$N$201,'Dữ liệu sạch'!$K$2:$K$201,$A23,'Dữ liệu sạch'!$R$2:$R$201,"Hoàn thành")</f>
        <v>18</v>
      </c>
      <c r="D23" s="14">
        <f>SUMIFS('Dữ liệu sạch'!$W$2:$W$201,'Dữ liệu sạch'!$K$2:$K$201,$A23)</f>
        <v>16949100</v>
      </c>
      <c r="E23" s="14">
        <f>SUMIFS('Dữ liệu sạch'!$X$2:$X$201,'Dữ liệu sạch'!$K$2:$K$201,$A23)</f>
        <v>6149100</v>
      </c>
      <c r="F23" s="28">
        <f t="shared" si="1"/>
        <v>0.36279802467387651</v>
      </c>
      <c r="G23" s="47">
        <f t="shared" si="2"/>
        <v>16949100.000023</v>
      </c>
    </row>
    <row r="24" spans="1:7" x14ac:dyDescent="0.35">
      <c r="A24" s="8" t="s">
        <v>120</v>
      </c>
      <c r="B24" s="8" t="s">
        <v>18</v>
      </c>
      <c r="C24" s="27">
        <f>SUMIFS('Dữ liệu sạch'!$N$2:$N$201,'Dữ liệu sạch'!$K$2:$K$201,$A24,'Dữ liệu sạch'!$R$2:$R$201,"Hoàn thành")</f>
        <v>25</v>
      </c>
      <c r="D24" s="14">
        <f>SUMIFS('Dữ liệu sạch'!$W$2:$W$201,'Dữ liệu sạch'!$K$2:$K$201,$A24)</f>
        <v>6563200</v>
      </c>
      <c r="E24" s="14">
        <f>SUMIFS('Dữ liệu sạch'!$X$2:$X$201,'Dữ liệu sạch'!$K$2:$K$201,$A24)</f>
        <v>3313200</v>
      </c>
      <c r="F24" s="28">
        <f t="shared" si="1"/>
        <v>0.50481472452462217</v>
      </c>
      <c r="G24" s="47">
        <f t="shared" si="2"/>
        <v>6563200.0000240002</v>
      </c>
    </row>
    <row r="25" spans="1:7" x14ac:dyDescent="0.35">
      <c r="A25" s="8" t="s">
        <v>93</v>
      </c>
      <c r="B25" s="8" t="s">
        <v>18</v>
      </c>
      <c r="C25" s="27">
        <f>SUMIFS('Dữ liệu sạch'!$N$2:$N$201,'Dữ liệu sạch'!$K$2:$K$201,$A25,'Dữ liệu sạch'!$R$2:$R$201,"Hoàn thành")</f>
        <v>26</v>
      </c>
      <c r="D25" s="14">
        <f>SUMIFS('Dữ liệu sạch'!$W$2:$W$201,'Dữ liệu sạch'!$K$2:$K$201,$A25)</f>
        <v>37222500</v>
      </c>
      <c r="E25" s="14">
        <f>SUMIFS('Dữ liệu sạch'!$X$2:$X$201,'Dữ liệu sạch'!$K$2:$K$201,$A25)</f>
        <v>16422500</v>
      </c>
      <c r="F25" s="28">
        <f t="shared" si="1"/>
        <v>0.44119820001343274</v>
      </c>
      <c r="G25" s="47">
        <f t="shared" si="2"/>
        <v>37222500.000024997</v>
      </c>
    </row>
    <row r="26" spans="1:7" x14ac:dyDescent="0.35">
      <c r="A26" s="8" t="s">
        <v>20</v>
      </c>
      <c r="B26" s="8" t="s">
        <v>18</v>
      </c>
      <c r="C26" s="27">
        <f>SUMIFS('Dữ liệu sạch'!$N$2:$N$201,'Dữ liệu sạch'!$K$2:$K$201,$A26,'Dữ liệu sạch'!$R$2:$R$201,"Hoàn thành")</f>
        <v>51</v>
      </c>
      <c r="D26" s="14">
        <f>SUMIFS('Dữ liệu sạch'!$W$2:$W$201,'Dữ liệu sạch'!$K$2:$K$201,$A26)</f>
        <v>55785000</v>
      </c>
      <c r="E26" s="14">
        <f>SUMIFS('Dữ liệu sạch'!$X$2:$X$201,'Dữ liệu sạch'!$K$2:$K$201,$A26)</f>
        <v>24165000</v>
      </c>
      <c r="F26" s="28">
        <f t="shared" si="1"/>
        <v>0.4331809626243614</v>
      </c>
      <c r="G26" s="47">
        <f t="shared" si="2"/>
        <v>55785000.000026003</v>
      </c>
    </row>
    <row r="27" spans="1:7" x14ac:dyDescent="0.35">
      <c r="A27" s="8" t="s">
        <v>96</v>
      </c>
      <c r="B27" s="8" t="s">
        <v>18</v>
      </c>
      <c r="C27" s="27">
        <f>SUMIFS('Dữ liệu sạch'!$N$2:$N$201,'Dữ liệu sạch'!$K$2:$K$201,$A27,'Dữ liệu sạch'!$R$2:$R$201,"Hoàn thành")</f>
        <v>44</v>
      </c>
      <c r="D27" s="14">
        <f>SUMIFS('Dữ liệu sạch'!$W$2:$W$201,'Dữ liệu sạch'!$K$2:$K$201,$A27)</f>
        <v>29821900</v>
      </c>
      <c r="E27" s="14">
        <f>SUMIFS('Dữ liệu sạch'!$X$2:$X$201,'Dữ liệu sạch'!$K$2:$K$201,$A27)</f>
        <v>12661900</v>
      </c>
      <c r="F27" s="28">
        <f t="shared" si="1"/>
        <v>0.42458394669689054</v>
      </c>
      <c r="G27" s="47">
        <f t="shared" si="2"/>
        <v>29821900.000027001</v>
      </c>
    </row>
    <row r="28" spans="1:7" x14ac:dyDescent="0.35">
      <c r="A28" s="8" t="s">
        <v>127</v>
      </c>
      <c r="B28" s="8" t="s">
        <v>43</v>
      </c>
      <c r="C28" s="27">
        <f>SUMIFS('Dữ liệu sạch'!$N$2:$N$201,'Dữ liệu sạch'!$K$2:$K$201,$A28,'Dữ liệu sạch'!$R$2:$R$201,"Hoàn thành")</f>
        <v>29</v>
      </c>
      <c r="D28" s="14">
        <f>SUMIFS('Dữ liệu sạch'!$W$2:$W$201,'Dữ liệu sạch'!$K$2:$K$201,$A28)</f>
        <v>8778400</v>
      </c>
      <c r="E28" s="14">
        <f>SUMIFS('Dữ liệu sạch'!$X$2:$X$201,'Dữ liệu sạch'!$K$2:$K$201,$A28)</f>
        <v>4428400</v>
      </c>
      <c r="F28" s="28">
        <f t="shared" si="1"/>
        <v>0.50446550624259545</v>
      </c>
      <c r="G28" s="47">
        <f t="shared" si="2"/>
        <v>8778400.0000279993</v>
      </c>
    </row>
    <row r="29" spans="1:7" x14ac:dyDescent="0.35">
      <c r="A29" s="8" t="s">
        <v>44</v>
      </c>
      <c r="B29" s="8" t="s">
        <v>43</v>
      </c>
      <c r="C29" s="27">
        <f>SUMIFS('Dữ liệu sạch'!$N$2:$N$201,'Dữ liệu sạch'!$K$2:$K$201,$A29,'Dữ liệu sạch'!$R$2:$R$201,"Hoàn thành")</f>
        <v>10</v>
      </c>
      <c r="D29" s="14">
        <f>SUMIFS('Dữ liệu sạch'!$W$2:$W$201,'Dữ liệu sạch'!$K$2:$K$201,$A29)</f>
        <v>5273800</v>
      </c>
      <c r="E29" s="14">
        <f>SUMIFS('Dữ liệu sạch'!$X$2:$X$201,'Dữ liệu sạch'!$K$2:$K$201,$A29)</f>
        <v>2673800</v>
      </c>
      <c r="F29" s="28">
        <f t="shared" si="1"/>
        <v>0.50699685236451897</v>
      </c>
      <c r="G29" s="47">
        <f t="shared" si="2"/>
        <v>5273800.0000290005</v>
      </c>
    </row>
    <row r="30" spans="1:7" x14ac:dyDescent="0.35">
      <c r="A30" s="8" t="s">
        <v>48</v>
      </c>
      <c r="B30" s="8" t="s">
        <v>43</v>
      </c>
      <c r="C30" s="27">
        <f>SUMIFS('Dữ liệu sạch'!$N$2:$N$201,'Dữ liệu sạch'!$K$2:$K$201,$A30,'Dữ liệu sạch'!$R$2:$R$201,"Hoàn thành")</f>
        <v>19</v>
      </c>
      <c r="D30" s="14">
        <f>SUMIFS('Dữ liệu sạch'!$W$2:$W$201,'Dữ liệu sạch'!$K$2:$K$201,$A30)</f>
        <v>5188300</v>
      </c>
      <c r="E30" s="14">
        <f>SUMIFS('Dữ liệu sạch'!$X$2:$X$201,'Dữ liệu sạch'!$K$2:$K$201,$A30)</f>
        <v>2908300</v>
      </c>
      <c r="F30" s="28">
        <f t="shared" si="1"/>
        <v>0.56054969835977098</v>
      </c>
      <c r="G30" s="47">
        <f t="shared" si="2"/>
        <v>5188300.0000299998</v>
      </c>
    </row>
    <row r="31" spans="1:7" x14ac:dyDescent="0.35">
      <c r="A31" s="8" t="s">
        <v>87</v>
      </c>
      <c r="B31" s="8" t="s">
        <v>71</v>
      </c>
      <c r="C31" s="27">
        <f>SUMIFS('Dữ liệu sạch'!$N$2:$N$201,'Dữ liệu sạch'!$K$2:$K$201,$A31,'Dữ liệu sạch'!$R$2:$R$201,"Hoàn thành")</f>
        <v>13</v>
      </c>
      <c r="D31" s="14">
        <f>SUMIFS('Dữ liệu sạch'!$W$2:$W$201,'Dữ liệu sạch'!$K$2:$K$201,$A31)</f>
        <v>4693950</v>
      </c>
      <c r="E31" s="14">
        <f>SUMIFS('Dữ liệu sạch'!$X$2:$X$201,'Dữ liệu sạch'!$K$2:$K$201,$A31)</f>
        <v>1443950</v>
      </c>
      <c r="F31" s="28">
        <f t="shared" si="1"/>
        <v>0.30761938239648912</v>
      </c>
      <c r="G31" s="47">
        <f t="shared" si="2"/>
        <v>4693950.000031</v>
      </c>
    </row>
    <row r="32" spans="1:7" x14ac:dyDescent="0.35">
      <c r="A32" s="8" t="s">
        <v>72</v>
      </c>
      <c r="B32" s="8" t="s">
        <v>71</v>
      </c>
      <c r="C32" s="27">
        <f>SUMIFS('Dữ liệu sạch'!$N$2:$N$201,'Dữ liệu sạch'!$K$2:$K$201,$A32,'Dữ liệu sạch'!$R$2:$R$201,"Hoàn thành")</f>
        <v>15</v>
      </c>
      <c r="D32" s="14">
        <f>SUMIFS('Dữ liệu sạch'!$W$2:$W$201,'Dữ liệu sạch'!$K$2:$K$201,$A32)</f>
        <v>2938000</v>
      </c>
      <c r="E32" s="14">
        <f>SUMIFS('Dữ liệu sạch'!$X$2:$X$201,'Dữ liệu sạch'!$K$2:$K$201,$A32)</f>
        <v>1138000</v>
      </c>
      <c r="F32" s="28">
        <f t="shared" si="1"/>
        <v>0.38733832539142271</v>
      </c>
      <c r="G32" s="47">
        <f t="shared" si="2"/>
        <v>2938000.0000319998</v>
      </c>
    </row>
    <row r="33" spans="1:8" x14ac:dyDescent="0.35">
      <c r="A33" s="8" t="s">
        <v>81</v>
      </c>
      <c r="B33" s="8" t="s">
        <v>71</v>
      </c>
      <c r="C33" s="27">
        <f>SUMIFS('Dữ liệu sạch'!$N$2:$N$201,'Dữ liệu sạch'!$K$2:$K$201,$A33,'Dữ liệu sạch'!$R$2:$R$201,"Hoàn thành")</f>
        <v>18</v>
      </c>
      <c r="D33" s="14">
        <f>SUMIFS('Dữ liệu sạch'!$W$2:$W$201,'Dữ liệu sạch'!$K$2:$K$201,$A33)</f>
        <v>5771500</v>
      </c>
      <c r="E33" s="14">
        <f>SUMIFS('Dữ liệu sạch'!$X$2:$X$201,'Dữ liệu sạch'!$K$2:$K$201,$A33)</f>
        <v>1811500</v>
      </c>
      <c r="F33" s="28">
        <f t="shared" si="1"/>
        <v>0.31386987784804643</v>
      </c>
      <c r="G33" s="47">
        <f t="shared" si="2"/>
        <v>5771500.0000329996</v>
      </c>
    </row>
    <row r="34" spans="1:8" x14ac:dyDescent="0.35">
      <c r="A34" s="30" t="s">
        <v>498</v>
      </c>
      <c r="B34" s="30"/>
      <c r="C34" s="32">
        <f>SUM(C15:C33)</f>
        <v>413</v>
      </c>
      <c r="D34" s="32">
        <f>SUM(D15:D33)</f>
        <v>346260650</v>
      </c>
      <c r="E34" s="32">
        <f>SUM(E15:E33)</f>
        <v>131000650</v>
      </c>
      <c r="F34" s="42">
        <f t="shared" si="1"/>
        <v>0.37832959072883388</v>
      </c>
      <c r="G34" s="48"/>
    </row>
    <row r="35" spans="1:8" ht="15" customHeight="1" x14ac:dyDescent="0.35">
      <c r="A35" s="1"/>
      <c r="B35" s="1"/>
      <c r="C35" s="1"/>
      <c r="D35" s="1"/>
      <c r="E35" s="1"/>
      <c r="F35" s="1"/>
      <c r="G35" s="1"/>
      <c r="H35" s="1"/>
    </row>
    <row r="36" spans="1:8" ht="19.5" customHeight="1" x14ac:dyDescent="0.35">
      <c r="A36" s="5" t="s">
        <v>587</v>
      </c>
      <c r="B36" s="5"/>
      <c r="C36" s="5"/>
      <c r="D36" s="5"/>
      <c r="E36" s="5"/>
      <c r="F36" s="5"/>
      <c r="G36" s="5"/>
      <c r="H36" s="5"/>
    </row>
    <row r="37" spans="1:8" ht="31.5" customHeight="1" x14ac:dyDescent="0.35">
      <c r="A37" s="9" t="s">
        <v>588</v>
      </c>
      <c r="B37" s="9" t="s">
        <v>19</v>
      </c>
      <c r="C37" s="9" t="s">
        <v>31</v>
      </c>
      <c r="D37" s="9" t="s">
        <v>566</v>
      </c>
      <c r="E37" s="9" t="s">
        <v>589</v>
      </c>
      <c r="F37" s="9" t="s">
        <v>539</v>
      </c>
      <c r="G37" s="9" t="s">
        <v>590</v>
      </c>
    </row>
    <row r="38" spans="1:8" x14ac:dyDescent="0.35">
      <c r="A38" s="26">
        <v>1</v>
      </c>
      <c r="B38" s="8" t="str">
        <f t="shared" ref="B38:B47" si="3">INDEX($A$15:$A$33,G38)</f>
        <v>Túi xách nữ</v>
      </c>
      <c r="C38" s="14">
        <f t="shared" ref="C38:C47" si="4">INDEX($D$15:$D$33,G38)</f>
        <v>55785000</v>
      </c>
      <c r="D38" s="28">
        <f t="shared" ref="D38:D47" si="5">C38/$D$34</f>
        <v>0.1611069580098114</v>
      </c>
      <c r="E38" s="28">
        <f>SUM($D$38:D38)</f>
        <v>0.1611069580098114</v>
      </c>
      <c r="F38" s="28">
        <f t="shared" ref="F38:F47" si="6">INDEX($F$15:$F$33,G38)</f>
        <v>0.4331809626243614</v>
      </c>
      <c r="G38" s="49">
        <f t="shared" ref="G38:G47" si="7">MATCH(LARGE($G$15:$G$33,A38),$G$15:$G$33,0)</f>
        <v>12</v>
      </c>
    </row>
    <row r="39" spans="1:8" x14ac:dyDescent="0.35">
      <c r="A39" s="26">
        <v>2</v>
      </c>
      <c r="B39" s="8" t="str">
        <f t="shared" si="3"/>
        <v>Loa thông minh</v>
      </c>
      <c r="C39" s="14">
        <f t="shared" si="4"/>
        <v>42892500</v>
      </c>
      <c r="D39" s="28">
        <f t="shared" si="5"/>
        <v>0.12387344620302654</v>
      </c>
      <c r="E39" s="28">
        <f>SUM($D$38:D39)</f>
        <v>0.28498040421283793</v>
      </c>
      <c r="F39" s="28">
        <f t="shared" si="6"/>
        <v>0.30057702395523694</v>
      </c>
      <c r="G39" s="49">
        <f t="shared" si="7"/>
        <v>2</v>
      </c>
    </row>
    <row r="40" spans="1:8" ht="25" x14ac:dyDescent="0.35">
      <c r="A40" s="26">
        <v>3</v>
      </c>
      <c r="B40" s="8" t="str">
        <f t="shared" si="3"/>
        <v>Nồi chiên không dầu</v>
      </c>
      <c r="C40" s="14">
        <f t="shared" si="4"/>
        <v>40296000</v>
      </c>
      <c r="D40" s="28">
        <f t="shared" si="5"/>
        <v>0.11637475988103181</v>
      </c>
      <c r="E40" s="28">
        <f>SUM($D$38:D40)</f>
        <v>0.40135516409386973</v>
      </c>
      <c r="F40" s="28">
        <f t="shared" si="6"/>
        <v>0.30762358546754021</v>
      </c>
      <c r="G40" s="49">
        <f t="shared" si="7"/>
        <v>6</v>
      </c>
    </row>
    <row r="41" spans="1:8" x14ac:dyDescent="0.35">
      <c r="A41" s="26">
        <v>4</v>
      </c>
      <c r="B41" s="8" t="str">
        <f t="shared" si="3"/>
        <v>Giày thể thao</v>
      </c>
      <c r="C41" s="14">
        <f t="shared" si="4"/>
        <v>37222500</v>
      </c>
      <c r="D41" s="28">
        <f t="shared" si="5"/>
        <v>0.10749849860213685</v>
      </c>
      <c r="E41" s="28">
        <f>SUM($D$38:D41)</f>
        <v>0.50885366269600663</v>
      </c>
      <c r="F41" s="28">
        <f t="shared" si="6"/>
        <v>0.44119820001343274</v>
      </c>
      <c r="G41" s="49">
        <f t="shared" si="7"/>
        <v>11</v>
      </c>
    </row>
    <row r="42" spans="1:8" x14ac:dyDescent="0.35">
      <c r="A42" s="26">
        <v>5</v>
      </c>
      <c r="B42" s="8" t="str">
        <f t="shared" si="3"/>
        <v>Áo khoác gió</v>
      </c>
      <c r="C42" s="14">
        <f t="shared" si="4"/>
        <v>29821900</v>
      </c>
      <c r="D42" s="28">
        <f t="shared" si="5"/>
        <v>8.6125581985709326E-2</v>
      </c>
      <c r="E42" s="28">
        <f>SUM($D$38:D42)</f>
        <v>0.59497924468171592</v>
      </c>
      <c r="F42" s="28">
        <f t="shared" si="6"/>
        <v>0.42458394669689054</v>
      </c>
      <c r="G42" s="49">
        <f t="shared" si="7"/>
        <v>13</v>
      </c>
    </row>
    <row r="43" spans="1:8" x14ac:dyDescent="0.35">
      <c r="A43" s="26">
        <v>6</v>
      </c>
      <c r="B43" s="8" t="str">
        <f t="shared" si="3"/>
        <v>Bàn phím cơ</v>
      </c>
      <c r="C43" s="14">
        <f t="shared" si="4"/>
        <v>29013000</v>
      </c>
      <c r="D43" s="28">
        <f t="shared" si="5"/>
        <v>8.378948055460532E-2</v>
      </c>
      <c r="E43" s="28">
        <f>SUM($D$38:D43)</f>
        <v>0.67876872523632126</v>
      </c>
      <c r="F43" s="28">
        <f t="shared" si="6"/>
        <v>0.32995553717299142</v>
      </c>
      <c r="G43" s="49">
        <f t="shared" si="7"/>
        <v>3</v>
      </c>
    </row>
    <row r="44" spans="1:8" x14ac:dyDescent="0.35">
      <c r="A44" s="26">
        <v>7</v>
      </c>
      <c r="B44" s="8" t="str">
        <f t="shared" si="3"/>
        <v>Máy hút bụi mini</v>
      </c>
      <c r="C44" s="14">
        <f t="shared" si="4"/>
        <v>20320000</v>
      </c>
      <c r="D44" s="28">
        <f t="shared" si="5"/>
        <v>5.8684115564387691E-2</v>
      </c>
      <c r="E44" s="28">
        <f>SUM($D$38:D44)</f>
        <v>0.73745284080070894</v>
      </c>
      <c r="F44" s="28">
        <f t="shared" si="6"/>
        <v>0.3110236220472441</v>
      </c>
      <c r="G44" s="49">
        <f t="shared" si="7"/>
        <v>7</v>
      </c>
    </row>
    <row r="45" spans="1:8" x14ac:dyDescent="0.35">
      <c r="A45" s="26">
        <v>8</v>
      </c>
      <c r="B45" s="8" t="str">
        <f t="shared" si="3"/>
        <v>Máy xay sinh tố</v>
      </c>
      <c r="C45" s="14">
        <f t="shared" si="4"/>
        <v>16949100</v>
      </c>
      <c r="D45" s="28">
        <f t="shared" si="5"/>
        <v>4.8948963735844661E-2</v>
      </c>
      <c r="E45" s="28">
        <f>SUM($D$38:D45)</f>
        <v>0.78640180453655362</v>
      </c>
      <c r="F45" s="28">
        <f t="shared" si="6"/>
        <v>0.36279802467387651</v>
      </c>
      <c r="G45" s="49">
        <f t="shared" si="7"/>
        <v>9</v>
      </c>
    </row>
    <row r="46" spans="1:8" x14ac:dyDescent="0.35">
      <c r="A46" s="26">
        <v>9</v>
      </c>
      <c r="B46" s="8" t="str">
        <f t="shared" si="3"/>
        <v>Tai nghe Bluetooth</v>
      </c>
      <c r="C46" s="14">
        <f t="shared" si="4"/>
        <v>10812800</v>
      </c>
      <c r="D46" s="28">
        <f t="shared" si="5"/>
        <v>3.1227342754656065E-2</v>
      </c>
      <c r="E46" s="28">
        <f>SUM($D$38:D46)</f>
        <v>0.81762914729120972</v>
      </c>
      <c r="F46" s="28">
        <f t="shared" si="6"/>
        <v>0.3267238828055638</v>
      </c>
      <c r="G46" s="49">
        <f t="shared" si="7"/>
        <v>1</v>
      </c>
    </row>
    <row r="47" spans="1:8" x14ac:dyDescent="0.35">
      <c r="A47" s="26">
        <v>10</v>
      </c>
      <c r="B47" s="8" t="str">
        <f t="shared" si="3"/>
        <v>Chuột không dây</v>
      </c>
      <c r="C47" s="14">
        <f t="shared" si="4"/>
        <v>9422800</v>
      </c>
      <c r="D47" s="28">
        <f t="shared" si="5"/>
        <v>2.721302579429687E-2</v>
      </c>
      <c r="E47" s="28">
        <f>SUM($D$38:D47)</f>
        <v>0.84484217308550658</v>
      </c>
      <c r="F47" s="28">
        <f t="shared" si="6"/>
        <v>0.39296175234537506</v>
      </c>
      <c r="G47" s="49">
        <f t="shared" si="7"/>
        <v>4</v>
      </c>
    </row>
    <row r="49" spans="1:8" ht="19.5" customHeight="1" x14ac:dyDescent="0.35">
      <c r="A49" s="5" t="s">
        <v>591</v>
      </c>
      <c r="B49" s="5"/>
      <c r="C49" s="5"/>
      <c r="D49" s="5"/>
      <c r="E49" s="5"/>
      <c r="F49" s="5"/>
      <c r="G49" s="5"/>
      <c r="H49" s="5"/>
    </row>
    <row r="50" spans="1:8" ht="31.5" customHeight="1" x14ac:dyDescent="0.35">
      <c r="A50" s="9" t="s">
        <v>592</v>
      </c>
      <c r="B50" s="9" t="s">
        <v>538</v>
      </c>
      <c r="C50" s="9" t="s">
        <v>31</v>
      </c>
      <c r="D50" s="9" t="s">
        <v>33</v>
      </c>
      <c r="E50" s="9" t="s">
        <v>539</v>
      </c>
      <c r="F50" s="9" t="s">
        <v>593</v>
      </c>
    </row>
    <row r="51" spans="1:8" x14ac:dyDescent="0.35">
      <c r="A51" s="50">
        <v>0</v>
      </c>
      <c r="B51" s="26">
        <f>COUNTIFS('Dữ liệu sạch'!$P$2:$P$201,$A51,'Dữ liệu sạch'!$R$2:$R$201,"Hoàn thành")</f>
        <v>62</v>
      </c>
      <c r="C51" s="14">
        <f>SUMIFS('Dữ liệu sạch'!$W$2:$W$201,'Dữ liệu sạch'!$P$2:$P$201,$A51)</f>
        <v>119101000</v>
      </c>
      <c r="D51" s="14">
        <f>SUMIFS('Dữ liệu sạch'!$X$2:$X$201,'Dữ liệu sạch'!$P$2:$P$201,$A51)</f>
        <v>51901000</v>
      </c>
      <c r="E51" s="28">
        <f t="shared" ref="E51:E56" si="8">IF(C51=0,0,D51/C51)</f>
        <v>0.43577299938707481</v>
      </c>
      <c r="F51" s="51">
        <f>IF(B51=0,0,SUMIFS('Dữ liệu sạch'!$N$2:$N$201,'Dữ liệu sạch'!$P$2:$P$201,$A51,'Dữ liệu sạch'!$R$2:$R$201,"Hoàn thành")/B51)</f>
        <v>2.129032258064516</v>
      </c>
    </row>
    <row r="52" spans="1:8" x14ac:dyDescent="0.35">
      <c r="A52" s="50">
        <v>0.05</v>
      </c>
      <c r="B52" s="26">
        <f>COUNTIFS('Dữ liệu sạch'!$P$2:$P$201,$A52,'Dữ liệu sạch'!$R$2:$R$201,"Hoàn thành")</f>
        <v>37</v>
      </c>
      <c r="C52" s="14">
        <f>SUMIFS('Dữ liệu sạch'!$W$2:$W$201,'Dữ liệu sạch'!$P$2:$P$201,$A52)</f>
        <v>59884200</v>
      </c>
      <c r="D52" s="14">
        <f>SUMIFS('Dữ liệu sạch'!$X$2:$X$201,'Dữ liệu sạch'!$P$2:$P$201,$A52)</f>
        <v>23744200</v>
      </c>
      <c r="E52" s="28">
        <f t="shared" si="8"/>
        <v>0.39650191536331786</v>
      </c>
      <c r="F52" s="51">
        <f>IF(B52=0,0,SUMIFS('Dữ liệu sạch'!$N$2:$N$201,'Dữ liệu sạch'!$P$2:$P$201,$A52,'Dữ liệu sạch'!$R$2:$R$201,"Hoàn thành")/B52)</f>
        <v>2.2972972972972974</v>
      </c>
    </row>
    <row r="53" spans="1:8" x14ac:dyDescent="0.35">
      <c r="A53" s="50">
        <v>0.1</v>
      </c>
      <c r="B53" s="26">
        <f>COUNTIFS('Dữ liệu sạch'!$P$2:$P$201,$A53,'Dữ liệu sạch'!$R$2:$R$201,"Hoàn thành")</f>
        <v>38</v>
      </c>
      <c r="C53" s="14">
        <f>SUMIFS('Dữ liệu sạch'!$W$2:$W$201,'Dữ liệu sạch'!$P$2:$P$201,$A53)</f>
        <v>76782600</v>
      </c>
      <c r="D53" s="14">
        <f>SUMIFS('Dữ liệu sạch'!$X$2:$X$201,'Dữ liệu sạch'!$P$2:$P$201,$A53)</f>
        <v>27822600</v>
      </c>
      <c r="E53" s="28">
        <f t="shared" si="8"/>
        <v>0.36235553367559836</v>
      </c>
      <c r="F53" s="51">
        <f>IF(B53=0,0,SUMIFS('Dữ liệu sạch'!$N$2:$N$201,'Dữ liệu sạch'!$P$2:$P$201,$A53,'Dữ liệu sạch'!$R$2:$R$201,"Hoàn thành")/B53)</f>
        <v>2.4210526315789473</v>
      </c>
    </row>
    <row r="54" spans="1:8" x14ac:dyDescent="0.35">
      <c r="A54" s="50">
        <v>0.15</v>
      </c>
      <c r="B54" s="26">
        <f>COUNTIFS('Dữ liệu sạch'!$P$2:$P$201,$A54,'Dữ liệu sạch'!$R$2:$R$201,"Hoàn thành")</f>
        <v>23</v>
      </c>
      <c r="C54" s="14">
        <f>SUMIFS('Dữ liệu sạch'!$W$2:$W$201,'Dữ liệu sạch'!$P$2:$P$201,$A54)</f>
        <v>58086450</v>
      </c>
      <c r="D54" s="14">
        <f>SUMIFS('Dữ liệu sạch'!$X$2:$X$201,'Dữ liệu sạch'!$P$2:$P$201,$A54)</f>
        <v>17746450</v>
      </c>
      <c r="E54" s="28">
        <f t="shared" si="8"/>
        <v>0.30551789617027725</v>
      </c>
      <c r="F54" s="51">
        <f>IF(B54=0,0,SUMIFS('Dữ liệu sạch'!$N$2:$N$201,'Dữ liệu sạch'!$P$2:$P$201,$A54,'Dữ liệu sạch'!$R$2:$R$201,"Hoàn thành")/B54)</f>
        <v>2.8260869565217392</v>
      </c>
    </row>
    <row r="55" spans="1:8" x14ac:dyDescent="0.35">
      <c r="A55" s="50">
        <v>0.2</v>
      </c>
      <c r="B55" s="26">
        <f>COUNTIFS('Dữ liệu sạch'!$P$2:$P$201,$A55,'Dữ liệu sạch'!$R$2:$R$201,"Hoàn thành")</f>
        <v>16</v>
      </c>
      <c r="C55" s="14">
        <f>SUMIFS('Dữ liệu sạch'!$W$2:$W$201,'Dữ liệu sạch'!$P$2:$P$201,$A55)</f>
        <v>32406400</v>
      </c>
      <c r="D55" s="14">
        <f>SUMIFS('Dữ liệu sạch'!$X$2:$X$201,'Dữ liệu sạch'!$P$2:$P$201,$A55)</f>
        <v>9786400</v>
      </c>
      <c r="E55" s="28">
        <f t="shared" si="8"/>
        <v>0.30198973042362004</v>
      </c>
      <c r="F55" s="51">
        <f>IF(B55=0,0,SUMIFS('Dữ liệu sạch'!$N$2:$N$201,'Dữ liệu sạch'!$P$2:$P$201,$A55,'Dữ liệu sạch'!$R$2:$R$201,"Hoàn thành")/B55)</f>
        <v>2.4375</v>
      </c>
    </row>
    <row r="56" spans="1:8" x14ac:dyDescent="0.35">
      <c r="A56" s="31" t="s">
        <v>498</v>
      </c>
      <c r="B56" s="41">
        <f>SUM(B51:B55)</f>
        <v>176</v>
      </c>
      <c r="C56" s="32">
        <f>SUM(C51:C55)</f>
        <v>346260650</v>
      </c>
      <c r="D56" s="32">
        <f>SUM(D51:D55)</f>
        <v>131000650</v>
      </c>
      <c r="E56" s="42">
        <f t="shared" si="8"/>
        <v>0.37832959072883388</v>
      </c>
      <c r="F56" s="30"/>
    </row>
  </sheetData>
  <mergeCells count="7">
    <mergeCell ref="A36:H36"/>
    <mergeCell ref="A49:H49"/>
    <mergeCell ref="A1:H1"/>
    <mergeCell ref="A2:H2"/>
    <mergeCell ref="A4:H4"/>
    <mergeCell ref="A13:H13"/>
    <mergeCell ref="A35:H35"/>
  </mergeCells>
  <conditionalFormatting sqref="F15:F33">
    <cfRule type="colorScale" priority="3">
      <colorScale>
        <cfvo type="min"/>
        <cfvo type="percentile" val="50"/>
        <cfvo type="max"/>
        <color rgb="FFF8CBAD"/>
        <color rgb="FFFFFFFF"/>
        <color rgb="FFA9D08E"/>
      </colorScale>
    </cfRule>
  </conditionalFormatting>
  <conditionalFormatting sqref="G6:G10">
    <cfRule type="colorScale" priority="2">
      <colorScale>
        <cfvo type="min"/>
        <cfvo type="percentile" val="50"/>
        <cfvo type="max"/>
        <color rgb="FFF8CBAD"/>
        <color rgb="FFFFFFFF"/>
        <color rgb="FFA9D08E"/>
      </colorScale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F5597"/>
  </sheetPr>
  <dimension ref="A1:H51"/>
  <sheetViews>
    <sheetView showGridLines="0" topLeftCell="A53" zoomScaleNormal="100" workbookViewId="0">
      <selection activeCell="A2" sqref="A2:H2"/>
    </sheetView>
  </sheetViews>
  <sheetFormatPr defaultColWidth="8.6328125" defaultRowHeight="14.5" x14ac:dyDescent="0.35"/>
  <cols>
    <col min="1" max="1" width="24" customWidth="1"/>
    <col min="2" max="7" width="16" customWidth="1"/>
    <col min="8" max="8" width="3" customWidth="1"/>
  </cols>
  <sheetData>
    <row r="1" spans="1:8" ht="31.5" customHeight="1" x14ac:dyDescent="0.35">
      <c r="A1" s="7"/>
      <c r="B1" s="7"/>
      <c r="C1" s="7"/>
      <c r="D1" s="7"/>
      <c r="E1" s="7"/>
      <c r="F1" s="7"/>
      <c r="G1" s="7"/>
      <c r="H1" s="7"/>
    </row>
    <row r="2" spans="1:8" ht="30" customHeight="1" x14ac:dyDescent="0.35">
      <c r="A2" s="6"/>
      <c r="B2" s="6"/>
      <c r="C2" s="6"/>
      <c r="D2" s="6"/>
      <c r="E2" s="6"/>
      <c r="F2" s="6"/>
      <c r="G2" s="6"/>
      <c r="H2" s="6"/>
    </row>
    <row r="4" spans="1:8" ht="19.5" customHeight="1" x14ac:dyDescent="0.35">
      <c r="A4" s="5" t="s">
        <v>594</v>
      </c>
      <c r="B4" s="5"/>
      <c r="C4" s="5"/>
      <c r="D4" s="5"/>
      <c r="E4" s="5"/>
      <c r="F4" s="5"/>
      <c r="G4" s="5"/>
    </row>
    <row r="5" spans="1:8" ht="31.5" customHeight="1" x14ac:dyDescent="0.35">
      <c r="A5" s="9" t="s">
        <v>13</v>
      </c>
      <c r="B5" s="9" t="s">
        <v>538</v>
      </c>
      <c r="C5" s="9" t="s">
        <v>31</v>
      </c>
      <c r="D5" s="9" t="s">
        <v>566</v>
      </c>
      <c r="E5" s="9" t="s">
        <v>33</v>
      </c>
      <c r="F5" s="9" t="s">
        <v>539</v>
      </c>
      <c r="G5" s="9" t="s">
        <v>540</v>
      </c>
    </row>
    <row r="6" spans="1:8" x14ac:dyDescent="0.35">
      <c r="A6" s="8" t="s">
        <v>41</v>
      </c>
      <c r="B6" s="26">
        <f>COUNTIFS('Dữ liệu sạch'!$H$2:$H$201,$A6,'Dữ liệu sạch'!$R$2:$R$201,"Hoàn thành")</f>
        <v>81</v>
      </c>
      <c r="C6" s="14">
        <f>SUMIFS('Dữ liệu sạch'!$W$2:$W$201,'Dữ liệu sạch'!$H$2:$H$201,$A6)</f>
        <v>146116400</v>
      </c>
      <c r="D6" s="28">
        <f>C6/$C$9</f>
        <v>0.42198384367383357</v>
      </c>
      <c r="E6" s="14">
        <f>SUMIFS('Dữ liệu sạch'!$X$2:$X$201,'Dữ liệu sạch'!$H$2:$H$201,$A6)</f>
        <v>54486400</v>
      </c>
      <c r="F6" s="28">
        <f>IF(C6=0,0,E6/C6)</f>
        <v>0.37289722440465273</v>
      </c>
      <c r="G6" s="14">
        <f>IF(B6=0,0,C6/B6)</f>
        <v>1803906.1728395061</v>
      </c>
    </row>
    <row r="7" spans="1:8" x14ac:dyDescent="0.35">
      <c r="A7" s="8" t="s">
        <v>63</v>
      </c>
      <c r="B7" s="26">
        <f>COUNTIFS('Dữ liệu sạch'!$H$2:$H$201,$A7,'Dữ liệu sạch'!$R$2:$R$201,"Hoàn thành")</f>
        <v>23</v>
      </c>
      <c r="C7" s="14">
        <f>SUMIFS('Dữ liệu sạch'!$W$2:$W$201,'Dữ liệu sạch'!$H$2:$H$201,$A7)</f>
        <v>41500500</v>
      </c>
      <c r="D7" s="28">
        <f>C7/$C$9</f>
        <v>0.11985335324704093</v>
      </c>
      <c r="E7" s="14">
        <f>SUMIFS('Dữ liệu sạch'!$X$2:$X$201,'Dữ liệu sạch'!$H$2:$H$201,$A7)</f>
        <v>15890500</v>
      </c>
      <c r="F7" s="28">
        <f>IF(C7=0,0,E7/C7)</f>
        <v>0.38289900121685283</v>
      </c>
      <c r="G7" s="14">
        <f>IF(B7=0,0,C7/B7)</f>
        <v>1804369.5652173914</v>
      </c>
    </row>
    <row r="8" spans="1:8" x14ac:dyDescent="0.35">
      <c r="A8" s="8" t="s">
        <v>14</v>
      </c>
      <c r="B8" s="26">
        <f>COUNTIFS('Dữ liệu sạch'!$H$2:$H$201,$A8,'Dữ liệu sạch'!$R$2:$R$201,"Hoàn thành")</f>
        <v>72</v>
      </c>
      <c r="C8" s="14">
        <f>SUMIFS('Dữ liệu sạch'!$W$2:$W$201,'Dữ liệu sạch'!$H$2:$H$201,$A8)</f>
        <v>158643750</v>
      </c>
      <c r="D8" s="28">
        <f>C8/$C$9</f>
        <v>0.45816280307912549</v>
      </c>
      <c r="E8" s="14">
        <f>SUMIFS('Dữ liệu sạch'!$X$2:$X$201,'Dữ liệu sạch'!$H$2:$H$201,$A8)</f>
        <v>60623750</v>
      </c>
      <c r="F8" s="28">
        <f>IF(C8=0,0,E8/C8)</f>
        <v>0.38213765118386323</v>
      </c>
      <c r="G8" s="14">
        <f>IF(B8=0,0,C8/B8)</f>
        <v>2203385.4166666665</v>
      </c>
    </row>
    <row r="9" spans="1:8" x14ac:dyDescent="0.35">
      <c r="A9" s="30" t="s">
        <v>498</v>
      </c>
      <c r="B9" s="41">
        <f>SUM(B6:B8)</f>
        <v>176</v>
      </c>
      <c r="C9" s="32">
        <f>SUM(C6:C8)</f>
        <v>346260650</v>
      </c>
      <c r="D9" s="42">
        <f>SUM(D6:D8)</f>
        <v>1</v>
      </c>
      <c r="E9" s="32">
        <f>SUM(E6:E8)</f>
        <v>131000650</v>
      </c>
      <c r="F9" s="42">
        <f>IF(C9=0,0,E9/C9)</f>
        <v>0.37832959072883388</v>
      </c>
      <c r="G9" s="32">
        <f>IF(B9=0,0,C9/B9)</f>
        <v>1967390.0568181819</v>
      </c>
    </row>
    <row r="12" spans="1:8" ht="19.5" customHeight="1" x14ac:dyDescent="0.35">
      <c r="A12" s="5" t="s">
        <v>595</v>
      </c>
      <c r="B12" s="5"/>
      <c r="C12" s="5"/>
      <c r="D12" s="5"/>
      <c r="E12" s="5"/>
      <c r="F12" s="5"/>
      <c r="G12" s="5"/>
    </row>
    <row r="13" spans="1:8" ht="31.5" customHeight="1" x14ac:dyDescent="0.35">
      <c r="A13" s="9" t="s">
        <v>15</v>
      </c>
      <c r="B13" s="9" t="s">
        <v>13</v>
      </c>
      <c r="C13" s="9" t="s">
        <v>538</v>
      </c>
      <c r="D13" s="9" t="s">
        <v>31</v>
      </c>
      <c r="E13" s="9" t="s">
        <v>566</v>
      </c>
      <c r="F13" s="9" t="s">
        <v>33</v>
      </c>
      <c r="G13" s="9" t="s">
        <v>539</v>
      </c>
    </row>
    <row r="14" spans="1:8" x14ac:dyDescent="0.35">
      <c r="A14" s="8" t="s">
        <v>173</v>
      </c>
      <c r="B14" s="8" t="s">
        <v>41</v>
      </c>
      <c r="C14" s="26">
        <f>COUNTIFS('Dữ liệu sạch'!$I$2:$I$201,$A14,'Dữ liệu sạch'!$R$2:$R$201,"Hoàn thành")</f>
        <v>8</v>
      </c>
      <c r="D14" s="14">
        <f>SUMIFS('Dữ liệu sạch'!$W$2:$W$201,'Dữ liệu sạch'!$I$2:$I$201,$A14)</f>
        <v>17910400</v>
      </c>
      <c r="E14" s="28">
        <f t="shared" ref="E14:E25" si="0">D14/$D$26</f>
        <v>5.1725196033681566E-2</v>
      </c>
      <c r="F14" s="14">
        <f>SUMIFS('Dữ liệu sạch'!$X$2:$X$201,'Dữ liệu sạch'!$I$2:$I$201,$A14)</f>
        <v>5790400</v>
      </c>
      <c r="G14" s="28">
        <f t="shared" ref="G14:G26" si="1">IF(D14=0,0,F14/D14)</f>
        <v>0.32329819546185457</v>
      </c>
    </row>
    <row r="15" spans="1:8" x14ac:dyDescent="0.35">
      <c r="A15" s="8" t="s">
        <v>86</v>
      </c>
      <c r="B15" s="8" t="s">
        <v>41</v>
      </c>
      <c r="C15" s="26">
        <f>COUNTIFS('Dữ liệu sạch'!$I$2:$I$201,$A15,'Dữ liệu sạch'!$R$2:$R$201,"Hoàn thành")</f>
        <v>8</v>
      </c>
      <c r="D15" s="14">
        <f>SUMIFS('Dữ liệu sạch'!$W$2:$W$201,'Dữ liệu sạch'!$I$2:$I$201,$A15)</f>
        <v>12147000</v>
      </c>
      <c r="E15" s="28">
        <f t="shared" si="0"/>
        <v>3.5080509437038256E-2</v>
      </c>
      <c r="F15" s="14">
        <f>SUMIFS('Dữ liệu sạch'!$X$2:$X$201,'Dữ liệu sạch'!$I$2:$I$201,$A15)</f>
        <v>5107000</v>
      </c>
      <c r="G15" s="28">
        <f t="shared" si="1"/>
        <v>0.420433028731374</v>
      </c>
    </row>
    <row r="16" spans="1:8" x14ac:dyDescent="0.35">
      <c r="A16" s="8" t="s">
        <v>80</v>
      </c>
      <c r="B16" s="8" t="s">
        <v>41</v>
      </c>
      <c r="C16" s="26">
        <f>COUNTIFS('Dữ liệu sạch'!$I$2:$I$201,$A16,'Dữ liệu sạch'!$R$2:$R$201,"Hoàn thành")</f>
        <v>37</v>
      </c>
      <c r="D16" s="14">
        <f>SUMIFS('Dữ liệu sạch'!$W$2:$W$201,'Dữ liệu sạch'!$I$2:$I$201,$A16)</f>
        <v>72810950</v>
      </c>
      <c r="E16" s="28">
        <f t="shared" si="0"/>
        <v>0.2102778643776011</v>
      </c>
      <c r="F16" s="14">
        <f>SUMIFS('Dữ liệu sạch'!$X$2:$X$201,'Dữ liệu sạch'!$I$2:$I$201,$A16)</f>
        <v>28190950</v>
      </c>
      <c r="G16" s="28">
        <f t="shared" si="1"/>
        <v>0.3871800876104487</v>
      </c>
    </row>
    <row r="17" spans="1:7" x14ac:dyDescent="0.35">
      <c r="A17" s="8" t="s">
        <v>42</v>
      </c>
      <c r="B17" s="8" t="s">
        <v>41</v>
      </c>
      <c r="C17" s="26">
        <f>COUNTIFS('Dữ liệu sạch'!$I$2:$I$201,$A17,'Dữ liệu sạch'!$R$2:$R$201,"Hoàn thành")</f>
        <v>28</v>
      </c>
      <c r="D17" s="14">
        <f>SUMIFS('Dữ liệu sạch'!$W$2:$W$201,'Dữ liệu sạch'!$I$2:$I$201,$A17)</f>
        <v>43248050</v>
      </c>
      <c r="E17" s="28">
        <f t="shared" si="0"/>
        <v>0.12490027382551266</v>
      </c>
      <c r="F17" s="14">
        <f>SUMIFS('Dữ liệu sạch'!$X$2:$X$201,'Dữ liệu sạch'!$I$2:$I$201,$A17)</f>
        <v>15398050</v>
      </c>
      <c r="G17" s="28">
        <f t="shared" si="1"/>
        <v>0.35604033014205266</v>
      </c>
    </row>
    <row r="18" spans="1:7" x14ac:dyDescent="0.35">
      <c r="A18" s="8" t="s">
        <v>238</v>
      </c>
      <c r="B18" s="8" t="s">
        <v>63</v>
      </c>
      <c r="C18" s="26">
        <f>COUNTIFS('Dữ liệu sạch'!$I$2:$I$201,$A18,'Dữ liệu sạch'!$R$2:$R$201,"Hoàn thành")</f>
        <v>3</v>
      </c>
      <c r="D18" s="14">
        <f>SUMIFS('Dữ liệu sạch'!$W$2:$W$201,'Dữ liệu sạch'!$I$2:$I$201,$A18)</f>
        <v>6750000</v>
      </c>
      <c r="E18" s="28">
        <f t="shared" si="0"/>
        <v>1.9493985239154375E-2</v>
      </c>
      <c r="F18" s="14">
        <f>SUMIFS('Dữ liệu sạch'!$X$2:$X$201,'Dữ liệu sạch'!$I$2:$I$201,$A18)</f>
        <v>2420000</v>
      </c>
      <c r="G18" s="28">
        <f t="shared" si="1"/>
        <v>0.35851851851851851</v>
      </c>
    </row>
    <row r="19" spans="1:7" x14ac:dyDescent="0.35">
      <c r="A19" s="8" t="s">
        <v>64</v>
      </c>
      <c r="B19" s="8" t="s">
        <v>63</v>
      </c>
      <c r="C19" s="26">
        <f>COUNTIFS('Dữ liệu sạch'!$I$2:$I$201,$A19,'Dữ liệu sạch'!$R$2:$R$201,"Hoàn thành")</f>
        <v>6</v>
      </c>
      <c r="D19" s="14">
        <f>SUMIFS('Dữ liệu sạch'!$W$2:$W$201,'Dữ liệu sạch'!$I$2:$I$201,$A19)</f>
        <v>15525000</v>
      </c>
      <c r="E19" s="28">
        <f t="shared" si="0"/>
        <v>4.4836166050055068E-2</v>
      </c>
      <c r="F19" s="14">
        <f>SUMIFS('Dữ liệu sạch'!$X$2:$X$201,'Dữ liệu sạch'!$I$2:$I$201,$A19)</f>
        <v>6035000</v>
      </c>
      <c r="G19" s="28">
        <f t="shared" si="1"/>
        <v>0.38872785829307571</v>
      </c>
    </row>
    <row r="20" spans="1:7" x14ac:dyDescent="0.35">
      <c r="A20" s="8" t="s">
        <v>130</v>
      </c>
      <c r="B20" s="8" t="s">
        <v>63</v>
      </c>
      <c r="C20" s="26">
        <f>COUNTIFS('Dữ liệu sạch'!$I$2:$I$201,$A20,'Dữ liệu sạch'!$R$2:$R$201,"Hoàn thành")</f>
        <v>4</v>
      </c>
      <c r="D20" s="14">
        <f>SUMIFS('Dữ liệu sạch'!$W$2:$W$201,'Dữ liệu sạch'!$I$2:$I$201,$A20)</f>
        <v>6455500</v>
      </c>
      <c r="E20" s="28">
        <f t="shared" si="0"/>
        <v>1.8643469883164603E-2</v>
      </c>
      <c r="F20" s="14">
        <f>SUMIFS('Dữ liệu sạch'!$X$2:$X$201,'Dữ liệu sạch'!$I$2:$I$201,$A20)</f>
        <v>2515500</v>
      </c>
      <c r="G20" s="28">
        <f t="shared" si="1"/>
        <v>0.38966772519556969</v>
      </c>
    </row>
    <row r="21" spans="1:7" x14ac:dyDescent="0.35">
      <c r="A21" s="8" t="s">
        <v>92</v>
      </c>
      <c r="B21" s="8" t="s">
        <v>63</v>
      </c>
      <c r="C21" s="26">
        <f>COUNTIFS('Dữ liệu sạch'!$I$2:$I$201,$A21,'Dữ liệu sạch'!$R$2:$R$201,"Hoàn thành")</f>
        <v>10</v>
      </c>
      <c r="D21" s="14">
        <f>SUMIFS('Dữ liệu sạch'!$W$2:$W$201,'Dữ liệu sạch'!$I$2:$I$201,$A21)</f>
        <v>12770000</v>
      </c>
      <c r="E21" s="28">
        <f t="shared" si="0"/>
        <v>3.6879732074666875E-2</v>
      </c>
      <c r="F21" s="14">
        <f>SUMIFS('Dữ liệu sạch'!$X$2:$X$201,'Dữ liệu sạch'!$I$2:$I$201,$A21)</f>
        <v>4920000</v>
      </c>
      <c r="G21" s="28">
        <f t="shared" si="1"/>
        <v>0.38527799530148787</v>
      </c>
    </row>
    <row r="22" spans="1:7" x14ac:dyDescent="0.35">
      <c r="A22" s="8" t="s">
        <v>135</v>
      </c>
      <c r="B22" s="8" t="s">
        <v>14</v>
      </c>
      <c r="C22" s="26">
        <f>COUNTIFS('Dữ liệu sạch'!$I$2:$I$201,$A22,'Dữ liệu sạch'!$R$2:$R$201,"Hoàn thành")</f>
        <v>11</v>
      </c>
      <c r="D22" s="14">
        <f>SUMIFS('Dữ liệu sạch'!$W$2:$W$201,'Dữ liệu sạch'!$I$2:$I$201,$A22)</f>
        <v>26926950</v>
      </c>
      <c r="E22" s="28">
        <f t="shared" si="0"/>
        <v>7.7764972716362665E-2</v>
      </c>
      <c r="F22" s="14">
        <f>SUMIFS('Dữ liệu sạch'!$X$2:$X$201,'Dữ liệu sạch'!$I$2:$I$201,$A22)</f>
        <v>11476950</v>
      </c>
      <c r="G22" s="28">
        <f t="shared" si="1"/>
        <v>0.42622539871764165</v>
      </c>
    </row>
    <row r="23" spans="1:7" x14ac:dyDescent="0.35">
      <c r="A23" s="8" t="s">
        <v>16</v>
      </c>
      <c r="B23" s="8" t="s">
        <v>14</v>
      </c>
      <c r="C23" s="26">
        <f>COUNTIFS('Dữ liệu sạch'!$I$2:$I$201,$A23,'Dữ liệu sạch'!$R$2:$R$201,"Hoàn thành")</f>
        <v>22</v>
      </c>
      <c r="D23" s="14">
        <f>SUMIFS('Dữ liệu sạch'!$W$2:$W$201,'Dữ liệu sạch'!$I$2:$I$201,$A23)</f>
        <v>43702100</v>
      </c>
      <c r="E23" s="28">
        <f t="shared" si="0"/>
        <v>0.12621156923259977</v>
      </c>
      <c r="F23" s="14">
        <f>SUMIFS('Dữ liệu sạch'!$X$2:$X$201,'Dữ liệu sạch'!$I$2:$I$201,$A23)</f>
        <v>16622100</v>
      </c>
      <c r="G23" s="28">
        <f t="shared" si="1"/>
        <v>0.38035014335695538</v>
      </c>
    </row>
    <row r="24" spans="1:7" x14ac:dyDescent="0.35">
      <c r="A24" s="8" t="s">
        <v>70</v>
      </c>
      <c r="B24" s="8" t="s">
        <v>14</v>
      </c>
      <c r="C24" s="26">
        <f>COUNTIFS('Dữ liệu sạch'!$I$2:$I$201,$A24,'Dữ liệu sạch'!$R$2:$R$201,"Hoàn thành")</f>
        <v>31</v>
      </c>
      <c r="D24" s="14">
        <f>SUMIFS('Dữ liệu sạch'!$W$2:$W$201,'Dữ liệu sạch'!$I$2:$I$201,$A24)</f>
        <v>73291300</v>
      </c>
      <c r="E24" s="28">
        <f t="shared" si="0"/>
        <v>0.21166511412717559</v>
      </c>
      <c r="F24" s="14">
        <f>SUMIFS('Dữ liệu sạch'!$X$2:$X$201,'Dữ liệu sạch'!$I$2:$I$201,$A24)</f>
        <v>25761300</v>
      </c>
      <c r="G24" s="28">
        <f t="shared" si="1"/>
        <v>0.35149192332514229</v>
      </c>
    </row>
    <row r="25" spans="1:7" x14ac:dyDescent="0.35">
      <c r="A25" s="8" t="s">
        <v>105</v>
      </c>
      <c r="B25" s="8" t="s">
        <v>14</v>
      </c>
      <c r="C25" s="26">
        <f>COUNTIFS('Dữ liệu sạch'!$I$2:$I$201,$A25,'Dữ liệu sạch'!$R$2:$R$201,"Hoàn thành")</f>
        <v>8</v>
      </c>
      <c r="D25" s="14">
        <f>SUMIFS('Dữ liệu sạch'!$W$2:$W$201,'Dữ liệu sạch'!$I$2:$I$201,$A25)</f>
        <v>14723400</v>
      </c>
      <c r="E25" s="28">
        <f t="shared" si="0"/>
        <v>4.2521147002987487E-2</v>
      </c>
      <c r="F25" s="14">
        <f>SUMIFS('Dữ liệu sạch'!$X$2:$X$201,'Dữ liệu sạch'!$I$2:$I$201,$A25)</f>
        <v>6763400</v>
      </c>
      <c r="G25" s="28">
        <f t="shared" si="1"/>
        <v>0.4593640055965334</v>
      </c>
    </row>
    <row r="26" spans="1:7" x14ac:dyDescent="0.35">
      <c r="A26" s="30" t="s">
        <v>498</v>
      </c>
      <c r="B26" s="30"/>
      <c r="C26" s="41">
        <f>SUM(C14:C25)</f>
        <v>176</v>
      </c>
      <c r="D26" s="32">
        <f>SUM(D14:D25)</f>
        <v>346260650</v>
      </c>
      <c r="E26" s="42">
        <f>SUM(E14:E25)</f>
        <v>1</v>
      </c>
      <c r="F26" s="32">
        <f>SUM(F14:F25)</f>
        <v>131000650</v>
      </c>
      <c r="G26" s="42">
        <f t="shared" si="1"/>
        <v>0.37832959072883388</v>
      </c>
    </row>
    <row r="29" spans="1:7" ht="19.5" customHeight="1" x14ac:dyDescent="0.35">
      <c r="A29" s="5" t="s">
        <v>596</v>
      </c>
      <c r="B29" s="5"/>
      <c r="C29" s="5"/>
      <c r="D29" s="5"/>
      <c r="E29" s="5"/>
      <c r="F29" s="5"/>
      <c r="G29" s="5"/>
    </row>
    <row r="30" spans="1:7" ht="31.5" customHeight="1" x14ac:dyDescent="0.35">
      <c r="A30" s="9" t="s">
        <v>21</v>
      </c>
      <c r="B30" s="9" t="s">
        <v>538</v>
      </c>
      <c r="C30" s="9" t="s">
        <v>31</v>
      </c>
      <c r="D30" s="9" t="s">
        <v>566</v>
      </c>
      <c r="E30" s="9" t="s">
        <v>33</v>
      </c>
      <c r="F30" s="9" t="s">
        <v>539</v>
      </c>
      <c r="G30" s="9" t="s">
        <v>540</v>
      </c>
    </row>
    <row r="31" spans="1:7" x14ac:dyDescent="0.35">
      <c r="A31" s="8" t="s">
        <v>22</v>
      </c>
      <c r="B31" s="26">
        <f>COUNTIFS('Dữ liệu sạch'!$L$2:$L$201,$A31,'Dữ liệu sạch'!$R$2:$R$201,"Hoàn thành")</f>
        <v>63</v>
      </c>
      <c r="C31" s="14">
        <f>SUMIFS('Dữ liệu sạch'!$W$2:$W$201,'Dữ liệu sạch'!$L$2:$L$201,$A31)</f>
        <v>138837450</v>
      </c>
      <c r="D31" s="28">
        <f>C31/$C$35</f>
        <v>0.4009622519913828</v>
      </c>
      <c r="E31" s="14">
        <f>SUMIFS('Dữ liệu sạch'!$X$2:$X$201,'Dữ liệu sạch'!$L$2:$L$201,$A31)</f>
        <v>51917450</v>
      </c>
      <c r="F31" s="28">
        <f>IF(C31=0,0,E31/C31)</f>
        <v>0.37394413394944953</v>
      </c>
      <c r="G31" s="14">
        <f>IF(B31=0,0,C31/B31)</f>
        <v>2203769.0476190476</v>
      </c>
    </row>
    <row r="32" spans="1:7" x14ac:dyDescent="0.35">
      <c r="A32" s="8" t="s">
        <v>56</v>
      </c>
      <c r="B32" s="26">
        <f>COUNTIFS('Dữ liệu sạch'!$L$2:$L$201,$A32,'Dữ liệu sạch'!$R$2:$R$201,"Hoàn thành")</f>
        <v>59</v>
      </c>
      <c r="C32" s="14">
        <f>SUMIFS('Dữ liệu sạch'!$W$2:$W$201,'Dữ liệu sạch'!$L$2:$L$201,$A32)</f>
        <v>74365100</v>
      </c>
      <c r="D32" s="28">
        <f>C32/$C$35</f>
        <v>0.21476624617899839</v>
      </c>
      <c r="E32" s="14">
        <f>SUMIFS('Dữ liệu sạch'!$X$2:$X$201,'Dữ liệu sạch'!$L$2:$L$201,$A32)</f>
        <v>28255100</v>
      </c>
      <c r="F32" s="28">
        <f>IF(C32=0,0,E32/C32)</f>
        <v>0.37995107920247534</v>
      </c>
      <c r="G32" s="14">
        <f>IF(B32=0,0,C32/B32)</f>
        <v>1260425.4237288137</v>
      </c>
    </row>
    <row r="33" spans="1:7" x14ac:dyDescent="0.35">
      <c r="A33" s="8" t="s">
        <v>73</v>
      </c>
      <c r="B33" s="26">
        <f>COUNTIFS('Dữ liệu sạch'!$L$2:$L$201,$A33,'Dữ liệu sạch'!$R$2:$R$201,"Hoàn thành")</f>
        <v>41</v>
      </c>
      <c r="C33" s="14">
        <f>SUMIFS('Dữ liệu sạch'!$W$2:$W$201,'Dữ liệu sạch'!$L$2:$L$201,$A33)</f>
        <v>83648500</v>
      </c>
      <c r="D33" s="28">
        <f>C33/$C$35</f>
        <v>0.24157668507813407</v>
      </c>
      <c r="E33" s="14">
        <f>SUMIFS('Dữ liệu sạch'!$X$2:$X$201,'Dữ liệu sạch'!$L$2:$L$201,$A33)</f>
        <v>33028500</v>
      </c>
      <c r="F33" s="28">
        <f>IF(C33=0,0,E33/C33)</f>
        <v>0.39484868228360342</v>
      </c>
      <c r="G33" s="14">
        <f>IF(B33=0,0,C33/B33)</f>
        <v>2040207.3170731708</v>
      </c>
    </row>
    <row r="34" spans="1:7" x14ac:dyDescent="0.35">
      <c r="A34" s="8" t="s">
        <v>97</v>
      </c>
      <c r="B34" s="26">
        <f>COUNTIFS('Dữ liệu sạch'!$L$2:$L$201,$A34,'Dữ liệu sạch'!$R$2:$R$201,"Hoàn thành")</f>
        <v>13</v>
      </c>
      <c r="C34" s="14">
        <f>SUMIFS('Dữ liệu sạch'!$W$2:$W$201,'Dữ liệu sạch'!$L$2:$L$201,$A34)</f>
        <v>49409600</v>
      </c>
      <c r="D34" s="28">
        <f>C34/$C$35</f>
        <v>0.14269481675148477</v>
      </c>
      <c r="E34" s="14">
        <f>SUMIFS('Dữ liệu sạch'!$X$2:$X$201,'Dữ liệu sạch'!$L$2:$L$201,$A34)</f>
        <v>17799600</v>
      </c>
      <c r="F34" s="28">
        <f>IF(C34=0,0,E34/C34)</f>
        <v>0.36024578219617243</v>
      </c>
      <c r="G34" s="14">
        <f>IF(B34=0,0,C34/B34)</f>
        <v>3800738.4615384615</v>
      </c>
    </row>
    <row r="35" spans="1:7" x14ac:dyDescent="0.35">
      <c r="A35" s="30" t="s">
        <v>498</v>
      </c>
      <c r="B35" s="41">
        <f>SUM(B31:B34)</f>
        <v>176</v>
      </c>
      <c r="C35" s="32">
        <f>SUM(C31:C34)</f>
        <v>346260650</v>
      </c>
      <c r="D35" s="42">
        <f>SUM(D31:D34)</f>
        <v>1</v>
      </c>
      <c r="E35" s="32">
        <f>SUM(E31:E34)</f>
        <v>131000650</v>
      </c>
      <c r="F35" s="42">
        <f>IF(C35=0,0,E35/C35)</f>
        <v>0.37832959072883388</v>
      </c>
      <c r="G35" s="32">
        <f>IF(B35=0,0,C35/B35)</f>
        <v>1967390.0568181819</v>
      </c>
    </row>
    <row r="38" spans="1:7" ht="19.5" customHeight="1" x14ac:dyDescent="0.35">
      <c r="A38" s="5" t="s">
        <v>597</v>
      </c>
      <c r="B38" s="5"/>
      <c r="C38" s="5"/>
      <c r="D38" s="5"/>
      <c r="E38" s="5"/>
      <c r="F38" s="5"/>
      <c r="G38" s="5"/>
    </row>
    <row r="39" spans="1:7" ht="31.5" customHeight="1" x14ac:dyDescent="0.35">
      <c r="A39" s="9" t="s">
        <v>13</v>
      </c>
      <c r="B39" s="9" t="s">
        <v>54</v>
      </c>
      <c r="C39" s="9" t="s">
        <v>65</v>
      </c>
      <c r="D39" s="9" t="s">
        <v>18</v>
      </c>
      <c r="E39" s="9" t="s">
        <v>43</v>
      </c>
      <c r="F39" s="9" t="s">
        <v>71</v>
      </c>
      <c r="G39" s="9" t="s">
        <v>498</v>
      </c>
    </row>
    <row r="40" spans="1:7" x14ac:dyDescent="0.35">
      <c r="A40" s="8" t="s">
        <v>41</v>
      </c>
      <c r="B40" s="14">
        <f>SUMIFS('Dữ liệu sạch'!$W$2:$W$201,'Dữ liệu sạch'!$H$2:$H$201,$A40,'Dữ liệu sạch'!$J$2:$J$201,B$39)</f>
        <v>55039000</v>
      </c>
      <c r="C40" s="14">
        <f>SUMIFS('Dữ liệu sạch'!$W$2:$W$201,'Dữ liệu sạch'!$H$2:$H$201,$A40,'Dữ liệu sạch'!$J$2:$J$201,C$39)</f>
        <v>34249500</v>
      </c>
      <c r="D40" s="14">
        <f>SUMIFS('Dữ liệu sạch'!$W$2:$W$201,'Dữ liệu sạch'!$H$2:$H$201,$A40,'Dữ liệu sạch'!$J$2:$J$201,D$39)</f>
        <v>39019300</v>
      </c>
      <c r="E40" s="14">
        <f>SUMIFS('Dữ liệu sạch'!$W$2:$W$201,'Dữ liệu sạch'!$H$2:$H$201,$A40,'Dữ liệu sạch'!$J$2:$J$201,E$39)</f>
        <v>13023100</v>
      </c>
      <c r="F40" s="14">
        <f>SUMIFS('Dữ liệu sạch'!$W$2:$W$201,'Dữ liệu sạch'!$H$2:$H$201,$A40,'Dữ liệu sạch'!$J$2:$J$201,F$39)</f>
        <v>4785500</v>
      </c>
      <c r="G40" s="14">
        <f>SUM(B40:F40)</f>
        <v>146116400</v>
      </c>
    </row>
    <row r="41" spans="1:7" x14ac:dyDescent="0.35">
      <c r="A41" s="8" t="s">
        <v>63</v>
      </c>
      <c r="B41" s="14">
        <f>SUMIFS('Dữ liệu sạch'!$W$2:$W$201,'Dữ liệu sạch'!$H$2:$H$201,$A41,'Dữ liệu sạch'!$J$2:$J$201,B$39)</f>
        <v>8514500</v>
      </c>
      <c r="C41" s="14">
        <f>SUMIFS('Dữ liệu sạch'!$W$2:$W$201,'Dữ liệu sạch'!$H$2:$H$201,$A41,'Dữ liệu sạch'!$J$2:$J$201,C$39)</f>
        <v>15766000</v>
      </c>
      <c r="D41" s="14">
        <f>SUMIFS('Dữ liệu sạch'!$W$2:$W$201,'Dữ liệu sạch'!$H$2:$H$201,$A41,'Dữ liệu sạch'!$J$2:$J$201,D$39)</f>
        <v>15079000</v>
      </c>
      <c r="E41" s="14">
        <f>SUMIFS('Dữ liệu sạch'!$W$2:$W$201,'Dữ liệu sạch'!$H$2:$H$201,$A41,'Dữ liệu sạch'!$J$2:$J$201,E$39)</f>
        <v>624000</v>
      </c>
      <c r="F41" s="14">
        <f>SUMIFS('Dữ liệu sạch'!$W$2:$W$201,'Dữ liệu sạch'!$H$2:$H$201,$A41,'Dữ liệu sạch'!$J$2:$J$201,F$39)</f>
        <v>1517000</v>
      </c>
      <c r="G41" s="14">
        <f>SUM(B41:F41)</f>
        <v>41500500</v>
      </c>
    </row>
    <row r="42" spans="1:7" x14ac:dyDescent="0.35">
      <c r="A42" s="8" t="s">
        <v>14</v>
      </c>
      <c r="B42" s="14">
        <f>SUMIFS('Dữ liệu sạch'!$W$2:$W$201,'Dữ liệu sạch'!$H$2:$H$201,$A42,'Dữ liệu sạch'!$J$2:$J$201,B$39)</f>
        <v>37367300</v>
      </c>
      <c r="C42" s="14">
        <f>SUMIFS('Dữ liệu sạch'!$W$2:$W$201,'Dữ liệu sạch'!$H$2:$H$201,$A42,'Dữ liệu sạch'!$J$2:$J$201,C$39)</f>
        <v>33287800</v>
      </c>
      <c r="D42" s="14">
        <f>SUMIFS('Dữ liệu sạch'!$W$2:$W$201,'Dữ liệu sạch'!$H$2:$H$201,$A42,'Dữ liệu sạch'!$J$2:$J$201,D$39)</f>
        <v>75294300</v>
      </c>
      <c r="E42" s="14">
        <f>SUMIFS('Dữ liệu sạch'!$W$2:$W$201,'Dữ liệu sạch'!$H$2:$H$201,$A42,'Dữ liệu sạch'!$J$2:$J$201,E$39)</f>
        <v>5593400</v>
      </c>
      <c r="F42" s="14">
        <f>SUMIFS('Dữ liệu sạch'!$W$2:$W$201,'Dữ liệu sạch'!$H$2:$H$201,$A42,'Dữ liệu sạch'!$J$2:$J$201,F$39)</f>
        <v>7100950</v>
      </c>
      <c r="G42" s="14">
        <f>SUM(B42:F42)</f>
        <v>158643750</v>
      </c>
    </row>
    <row r="43" spans="1:7" x14ac:dyDescent="0.35">
      <c r="A43" s="30" t="s">
        <v>498</v>
      </c>
      <c r="B43" s="32">
        <f t="shared" ref="B43:G43" si="2">SUM(B40:B42)</f>
        <v>100920800</v>
      </c>
      <c r="C43" s="32">
        <f t="shared" si="2"/>
        <v>83303300</v>
      </c>
      <c r="D43" s="32">
        <f t="shared" si="2"/>
        <v>129392600</v>
      </c>
      <c r="E43" s="32">
        <f t="shared" si="2"/>
        <v>19240500</v>
      </c>
      <c r="F43" s="32">
        <f t="shared" si="2"/>
        <v>13403450</v>
      </c>
      <c r="G43" s="32">
        <f t="shared" si="2"/>
        <v>346260650</v>
      </c>
    </row>
    <row r="46" spans="1:7" ht="19.5" customHeight="1" x14ac:dyDescent="0.35">
      <c r="A46" s="5" t="s">
        <v>598</v>
      </c>
      <c r="B46" s="5"/>
      <c r="C46" s="5"/>
      <c r="D46" s="5"/>
      <c r="E46" s="5"/>
      <c r="F46" s="5"/>
      <c r="G46" s="5"/>
    </row>
    <row r="47" spans="1:7" ht="31.5" customHeight="1" x14ac:dyDescent="0.35">
      <c r="A47" s="9" t="s">
        <v>13</v>
      </c>
      <c r="B47" s="9" t="s">
        <v>22</v>
      </c>
      <c r="C47" s="9" t="s">
        <v>56</v>
      </c>
      <c r="D47" s="9" t="s">
        <v>73</v>
      </c>
      <c r="E47" s="9" t="s">
        <v>97</v>
      </c>
      <c r="F47" s="9" t="s">
        <v>498</v>
      </c>
    </row>
    <row r="48" spans="1:7" x14ac:dyDescent="0.35">
      <c r="A48" s="8" t="s">
        <v>41</v>
      </c>
      <c r="B48" s="14">
        <f>SUMIFS('Dữ liệu sạch'!$W$2:$W$201,'Dữ liệu sạch'!$H$2:$H$201,$A48,'Dữ liệu sạch'!$L$2:$L$201,B$47)</f>
        <v>56924950</v>
      </c>
      <c r="C48" s="14">
        <f>SUMIFS('Dữ liệu sạch'!$W$2:$W$201,'Dữ liệu sạch'!$H$2:$H$201,$A48,'Dữ liệu sạch'!$L$2:$L$201,C$47)</f>
        <v>30957950</v>
      </c>
      <c r="D48" s="14">
        <f>SUMIFS('Dữ liệu sạch'!$W$2:$W$201,'Dữ liệu sạch'!$H$2:$H$201,$A48,'Dữ liệu sạch'!$L$2:$L$201,D$47)</f>
        <v>33759500</v>
      </c>
      <c r="E48" s="14">
        <f>SUMIFS('Dữ liệu sạch'!$W$2:$W$201,'Dữ liệu sạch'!$H$2:$H$201,$A48,'Dữ liệu sạch'!$L$2:$L$201,E$47)</f>
        <v>24474000</v>
      </c>
      <c r="F48" s="14">
        <f>SUM(B48:E48)</f>
        <v>146116400</v>
      </c>
    </row>
    <row r="49" spans="1:6" x14ac:dyDescent="0.35">
      <c r="A49" s="8" t="s">
        <v>63</v>
      </c>
      <c r="B49" s="14">
        <f>SUMIFS('Dữ liệu sạch'!$W$2:$W$201,'Dữ liệu sạch'!$H$2:$H$201,$A49,'Dữ liệu sạch'!$L$2:$L$201,B$47)</f>
        <v>14495500</v>
      </c>
      <c r="C49" s="14">
        <f>SUMIFS('Dữ liệu sạch'!$W$2:$W$201,'Dữ liệu sạch'!$H$2:$H$201,$A49,'Dữ liệu sạch'!$L$2:$L$201,C$47)</f>
        <v>10596000</v>
      </c>
      <c r="D49" s="14">
        <f>SUMIFS('Dữ liệu sạch'!$W$2:$W$201,'Dữ liệu sạch'!$H$2:$H$201,$A49,'Dữ liệu sạch'!$L$2:$L$201,D$47)</f>
        <v>4662000</v>
      </c>
      <c r="E49" s="14">
        <f>SUMIFS('Dữ liệu sạch'!$W$2:$W$201,'Dữ liệu sạch'!$H$2:$H$201,$A49,'Dữ liệu sạch'!$L$2:$L$201,E$47)</f>
        <v>11747000</v>
      </c>
      <c r="F49" s="14">
        <f>SUM(B49:E49)</f>
        <v>41500500</v>
      </c>
    </row>
    <row r="50" spans="1:6" x14ac:dyDescent="0.35">
      <c r="A50" s="8" t="s">
        <v>14</v>
      </c>
      <c r="B50" s="14">
        <f>SUMIFS('Dữ liệu sạch'!$W$2:$W$201,'Dữ liệu sạch'!$H$2:$H$201,$A50,'Dữ liệu sạch'!$L$2:$L$201,B$47)</f>
        <v>67417000</v>
      </c>
      <c r="C50" s="14">
        <f>SUMIFS('Dữ liệu sạch'!$W$2:$W$201,'Dữ liệu sạch'!$H$2:$H$201,$A50,'Dữ liệu sạch'!$L$2:$L$201,C$47)</f>
        <v>32811150</v>
      </c>
      <c r="D50" s="14">
        <f>SUMIFS('Dữ liệu sạch'!$W$2:$W$201,'Dữ liệu sạch'!$H$2:$H$201,$A50,'Dữ liệu sạch'!$L$2:$L$201,D$47)</f>
        <v>45227000</v>
      </c>
      <c r="E50" s="14">
        <f>SUMIFS('Dữ liệu sạch'!$W$2:$W$201,'Dữ liệu sạch'!$H$2:$H$201,$A50,'Dữ liệu sạch'!$L$2:$L$201,E$47)</f>
        <v>13188600</v>
      </c>
      <c r="F50" s="14">
        <f>SUM(B50:E50)</f>
        <v>158643750</v>
      </c>
    </row>
    <row r="51" spans="1:6" x14ac:dyDescent="0.35">
      <c r="A51" s="30" t="s">
        <v>498</v>
      </c>
      <c r="B51" s="32">
        <f>SUM(B48:B50)</f>
        <v>138837450</v>
      </c>
      <c r="C51" s="32">
        <f>SUM(C48:C50)</f>
        <v>74365100</v>
      </c>
      <c r="D51" s="32">
        <f>SUM(D48:D50)</f>
        <v>83648500</v>
      </c>
      <c r="E51" s="32">
        <f>SUM(E48:E50)</f>
        <v>49409600</v>
      </c>
      <c r="F51" s="32">
        <f>SUM(F48:F50)</f>
        <v>346260650</v>
      </c>
    </row>
  </sheetData>
  <mergeCells count="7">
    <mergeCell ref="A38:G38"/>
    <mergeCell ref="A46:G46"/>
    <mergeCell ref="A1:H1"/>
    <mergeCell ref="A2:H2"/>
    <mergeCell ref="A4:G4"/>
    <mergeCell ref="A12:G12"/>
    <mergeCell ref="A29:G29"/>
  </mergeCells>
  <conditionalFormatting sqref="B48:E50">
    <cfRule type="colorScale" priority="4">
      <colorScale>
        <cfvo type="min"/>
        <cfvo type="max"/>
        <color rgb="FFFFFFFF"/>
        <color rgb="FF5B9BD5"/>
      </colorScale>
    </cfRule>
  </conditionalFormatting>
  <conditionalFormatting sqref="B40:F42">
    <cfRule type="colorScale" priority="3">
      <colorScale>
        <cfvo type="min"/>
        <cfvo type="max"/>
        <color rgb="FFFFFFFF"/>
        <color rgb="FF5B9BD5"/>
      </colorScale>
    </cfRule>
  </conditionalFormatting>
  <conditionalFormatting sqref="D14:D25">
    <cfRule type="dataBar" priority="2">
      <dataBar>
        <cfvo type="num" val="0"/>
        <cfvo type="max"/>
        <color rgb="FF8FAADC"/>
      </dataBar>
      <extLst>
        <ext xmlns:x14="http://schemas.microsoft.com/office/spreadsheetml/2009/9/main" uri="{B025F937-C7B1-47D3-B67F-A62EFF666E3E}">
          <x14:id>{39C06C2A-3361-4EAB-AD4B-30F82820CD9C}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C06C2A-3361-4EAB-AD4B-30F82820CD9C}">
            <x14:dataBar axisPosition="none">
              <x14:cfvo type="num">
                <xm:f>0</xm:f>
              </x14:cfvo>
              <x14:cfvo type="max"/>
              <x14:negativeFillColor rgb="FF8FAADC"/>
            </x14:dataBar>
          </x14:cfRule>
          <xm:sqref>D14:D25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F5597"/>
  </sheetPr>
  <dimension ref="A1:I113"/>
  <sheetViews>
    <sheetView showGridLines="0" topLeftCell="A44" zoomScaleNormal="100" workbookViewId="0">
      <selection activeCell="A27" sqref="A27:I27"/>
    </sheetView>
  </sheetViews>
  <sheetFormatPr defaultColWidth="8.6328125" defaultRowHeight="14.5" x14ac:dyDescent="0.35"/>
  <cols>
    <col min="1" max="1" width="28" customWidth="1"/>
    <col min="2" max="2" width="24" customWidth="1"/>
    <col min="3" max="5" width="16" customWidth="1"/>
    <col min="6" max="6" width="17" customWidth="1"/>
    <col min="7" max="8" width="16" customWidth="1"/>
    <col min="9" max="9" width="17" customWidth="1"/>
  </cols>
  <sheetData>
    <row r="1" spans="1:9" ht="31.5" customHeight="1" x14ac:dyDescent="0.35">
      <c r="A1" s="7"/>
      <c r="B1" s="7"/>
      <c r="C1" s="7"/>
      <c r="D1" s="7"/>
      <c r="E1" s="7"/>
      <c r="F1" s="7"/>
      <c r="G1" s="7"/>
      <c r="H1" s="7"/>
      <c r="I1" s="7"/>
    </row>
    <row r="2" spans="1:9" ht="30" customHeight="1" x14ac:dyDescent="0.35">
      <c r="A2" s="6"/>
      <c r="B2" s="6"/>
      <c r="C2" s="6"/>
      <c r="D2" s="6"/>
      <c r="E2" s="6"/>
      <c r="F2" s="6"/>
      <c r="G2" s="6"/>
      <c r="H2" s="6"/>
      <c r="I2" s="6"/>
    </row>
    <row r="4" spans="1:9" ht="19.5" customHeight="1" x14ac:dyDescent="0.35">
      <c r="A4" s="5" t="s">
        <v>599</v>
      </c>
      <c r="B4" s="5"/>
      <c r="C4" s="5"/>
      <c r="D4" s="5"/>
      <c r="E4" s="5"/>
      <c r="F4" s="5"/>
      <c r="G4" s="5"/>
      <c r="H4" s="5"/>
      <c r="I4" s="5"/>
    </row>
    <row r="5" spans="1:9" ht="31.5" customHeight="1" x14ac:dyDescent="0.35">
      <c r="A5" s="9" t="s">
        <v>11</v>
      </c>
      <c r="B5" s="9" t="s">
        <v>600</v>
      </c>
      <c r="C5" s="9" t="s">
        <v>538</v>
      </c>
      <c r="D5" s="9" t="s">
        <v>31</v>
      </c>
      <c r="E5" s="9" t="s">
        <v>566</v>
      </c>
      <c r="F5" s="9" t="s">
        <v>33</v>
      </c>
      <c r="G5" s="9" t="s">
        <v>539</v>
      </c>
      <c r="H5" s="9" t="s">
        <v>540</v>
      </c>
      <c r="I5" s="9" t="s">
        <v>601</v>
      </c>
    </row>
    <row r="6" spans="1:9" x14ac:dyDescent="0.35">
      <c r="A6" s="8" t="s">
        <v>40</v>
      </c>
      <c r="B6" s="26">
        <f>COUNTIFS($C$54:$C$113,$A6,$E$54:$E$113,"&gt;0")</f>
        <v>45</v>
      </c>
      <c r="C6" s="26">
        <f>COUNTIFS('Dữ liệu sạch'!$G$2:$G$201,$A6,'Dữ liệu sạch'!$R$2:$R$201,"Hoàn thành")</f>
        <v>140</v>
      </c>
      <c r="D6" s="14">
        <f>SUMIFS('Dữ liệu sạch'!$W$2:$W$201,'Dữ liệu sạch'!$G$2:$G$201,$A6)</f>
        <v>198816050</v>
      </c>
      <c r="E6" s="28">
        <f>D6/$D$8</f>
        <v>0.57418031763066346</v>
      </c>
      <c r="F6" s="14">
        <f>SUMIFS('Dữ liệu sạch'!$X$2:$X$201,'Dữ liệu sạch'!$G$2:$G$201,$A6)</f>
        <v>78176050</v>
      </c>
      <c r="G6" s="28">
        <f>IF(D6=0,0,F6/D6)</f>
        <v>0.39320794271891024</v>
      </c>
      <c r="H6" s="14">
        <f>IF(C6=0,0,D6/C6)</f>
        <v>1420114.642857143</v>
      </c>
      <c r="I6" s="14">
        <f>IF(B6=0,0,D6/B6)</f>
        <v>4418134.444444444</v>
      </c>
    </row>
    <row r="7" spans="1:9" x14ac:dyDescent="0.35">
      <c r="A7" s="8" t="s">
        <v>12</v>
      </c>
      <c r="B7" s="26">
        <f>COUNTIFS($C$54:$C$113,$A7,$E$54:$E$113,"&gt;0")</f>
        <v>14</v>
      </c>
      <c r="C7" s="26">
        <f>COUNTIFS('Dữ liệu sạch'!$G$2:$G$201,$A7,'Dữ liệu sạch'!$R$2:$R$201,"Hoàn thành")</f>
        <v>36</v>
      </c>
      <c r="D7" s="14">
        <f>SUMIFS('Dữ liệu sạch'!$W$2:$W$201,'Dữ liệu sạch'!$G$2:$G$201,$A7)</f>
        <v>147444600</v>
      </c>
      <c r="E7" s="28">
        <f>D7/$D$8</f>
        <v>0.42581968236933648</v>
      </c>
      <c r="F7" s="14">
        <f>SUMIFS('Dữ liệu sạch'!$X$2:$X$201,'Dữ liệu sạch'!$G$2:$G$201,$A7)</f>
        <v>52824600</v>
      </c>
      <c r="G7" s="28">
        <f>IF(D7=0,0,F7/D7)</f>
        <v>0.358267444179034</v>
      </c>
      <c r="H7" s="14">
        <f>IF(C7=0,0,D7/C7)</f>
        <v>4095683.3333333335</v>
      </c>
      <c r="I7" s="14">
        <f>IF(B7=0,0,D7/B7)</f>
        <v>10531757.142857144</v>
      </c>
    </row>
    <row r="8" spans="1:9" x14ac:dyDescent="0.35">
      <c r="A8" s="30" t="s">
        <v>498</v>
      </c>
      <c r="B8" s="41">
        <f>SUM(B6:B7)</f>
        <v>59</v>
      </c>
      <c r="C8" s="41">
        <f>SUM(C6:C7)</f>
        <v>176</v>
      </c>
      <c r="D8" s="32">
        <f>SUM(D6:D7)</f>
        <v>346260650</v>
      </c>
      <c r="E8" s="42">
        <f>SUM(E6:E7)</f>
        <v>1</v>
      </c>
      <c r="F8" s="32">
        <f>SUM(F6:F7)</f>
        <v>131000650</v>
      </c>
      <c r="G8" s="42">
        <f>IF(D8=0,0,F8/D8)</f>
        <v>0.37832959072883388</v>
      </c>
      <c r="H8" s="32">
        <f>IF(C8=0,0,D8/C8)</f>
        <v>1967390.0568181819</v>
      </c>
      <c r="I8" s="32">
        <f>IF(B8=0,0,D8/B8)</f>
        <v>5868824.5762711866</v>
      </c>
    </row>
    <row r="10" spans="1:9" ht="19.5" customHeight="1" x14ac:dyDescent="0.35">
      <c r="A10" s="5" t="s">
        <v>602</v>
      </c>
      <c r="B10" s="5"/>
      <c r="C10" s="5"/>
      <c r="D10" s="5"/>
      <c r="E10" s="5"/>
      <c r="F10" s="5"/>
      <c r="G10" s="5"/>
      <c r="H10" s="5"/>
      <c r="I10" s="5"/>
    </row>
    <row r="11" spans="1:9" ht="31.5" customHeight="1" x14ac:dyDescent="0.35">
      <c r="A11" s="9" t="s">
        <v>445</v>
      </c>
      <c r="B11" s="9" t="s">
        <v>538</v>
      </c>
      <c r="C11" s="9" t="s">
        <v>31</v>
      </c>
      <c r="D11" s="9" t="s">
        <v>566</v>
      </c>
      <c r="E11" s="9" t="s">
        <v>33</v>
      </c>
      <c r="F11" s="9" t="s">
        <v>539</v>
      </c>
      <c r="G11" s="9" t="s">
        <v>540</v>
      </c>
      <c r="H11" s="9" t="s">
        <v>603</v>
      </c>
      <c r="I11" s="9" t="s">
        <v>604</v>
      </c>
    </row>
    <row r="12" spans="1:9" x14ac:dyDescent="0.35">
      <c r="A12" s="8" t="s">
        <v>76</v>
      </c>
      <c r="B12" s="26">
        <f>COUNTIFS('Dữ liệu sạch'!$M$2:$M$201,$A12,'Dữ liệu sạch'!$R$2:$R$201,"Hoàn thành")</f>
        <v>21</v>
      </c>
      <c r="C12" s="14">
        <f>SUMIFS('Dữ liệu sạch'!$W$2:$W$201,'Dữ liệu sạch'!$M$2:$M$201,$A12)</f>
        <v>41556500</v>
      </c>
      <c r="D12" s="28">
        <f t="shared" ref="D12:D20" si="0">C12/$C$21</f>
        <v>0.12001508112458058</v>
      </c>
      <c r="E12" s="14">
        <f>SUMIFS('Dữ liệu sạch'!$X$2:$X$201,'Dữ liệu sạch'!$M$2:$M$201,$A12)</f>
        <v>15016500</v>
      </c>
      <c r="F12" s="28">
        <f t="shared" ref="F12:F21" si="1">IF(C12=0,0,E12/C12)</f>
        <v>0.36135141313633246</v>
      </c>
      <c r="G12" s="14">
        <f t="shared" ref="G12:G21" si="2">IF(B12=0,0,C12/B12)</f>
        <v>1978880.9523809524</v>
      </c>
      <c r="H12" s="28">
        <f t="shared" ref="H12:H21" si="3">IF(I12=0,0,1-B12/I12)</f>
        <v>0.19230769230769229</v>
      </c>
      <c r="I12" s="26">
        <f>COUNTIFS('Dữ liệu sạch'!$M$2:$M$201,$A12)</f>
        <v>26</v>
      </c>
    </row>
    <row r="13" spans="1:9" x14ac:dyDescent="0.35">
      <c r="A13" s="8" t="s">
        <v>24</v>
      </c>
      <c r="B13" s="26">
        <f>COUNTIFS('Dữ liệu sạch'!$M$2:$M$201,$A13,'Dữ liệu sạch'!$R$2:$R$201,"Hoàn thành")</f>
        <v>30</v>
      </c>
      <c r="C13" s="14">
        <f>SUMIFS('Dữ liệu sạch'!$W$2:$W$201,'Dữ liệu sạch'!$M$2:$M$201,$A13)</f>
        <v>68950500</v>
      </c>
      <c r="D13" s="28">
        <f t="shared" si="0"/>
        <v>0.19912889321960206</v>
      </c>
      <c r="E13" s="14">
        <f>SUMIFS('Dữ liệu sạch'!$X$2:$X$201,'Dữ liệu sạch'!$M$2:$M$201,$A13)</f>
        <v>25450500</v>
      </c>
      <c r="F13" s="28">
        <f t="shared" si="1"/>
        <v>0.36911262427393565</v>
      </c>
      <c r="G13" s="14">
        <f t="shared" si="2"/>
        <v>2298350</v>
      </c>
      <c r="H13" s="28">
        <f t="shared" si="3"/>
        <v>0.11764705882352944</v>
      </c>
      <c r="I13" s="26">
        <f>COUNTIFS('Dữ liệu sạch'!$M$2:$M$201,$A13)</f>
        <v>34</v>
      </c>
    </row>
    <row r="14" spans="1:9" x14ac:dyDescent="0.35">
      <c r="A14" s="8" t="s">
        <v>57</v>
      </c>
      <c r="B14" s="26">
        <f>COUNTIFS('Dữ liệu sạch'!$M$2:$M$201,$A14,'Dữ liệu sạch'!$R$2:$R$201,"Hoàn thành")</f>
        <v>27</v>
      </c>
      <c r="C14" s="14">
        <f>SUMIFS('Dữ liệu sạch'!$W$2:$W$201,'Dữ liệu sạch'!$M$2:$M$201,$A14)</f>
        <v>51575500</v>
      </c>
      <c r="D14" s="28">
        <f t="shared" si="0"/>
        <v>0.14894993121511207</v>
      </c>
      <c r="E14" s="14">
        <f>SUMIFS('Dữ liệu sạch'!$X$2:$X$201,'Dữ liệu sạch'!$M$2:$M$201,$A14)</f>
        <v>18245500</v>
      </c>
      <c r="F14" s="28">
        <f t="shared" si="1"/>
        <v>0.35376293007338755</v>
      </c>
      <c r="G14" s="14">
        <f t="shared" si="2"/>
        <v>1910203.7037037036</v>
      </c>
      <c r="H14" s="28">
        <f t="shared" si="3"/>
        <v>0.15625</v>
      </c>
      <c r="I14" s="26">
        <f>COUNTIFS('Dữ liệu sạch'!$M$2:$M$201,$A14)</f>
        <v>32</v>
      </c>
    </row>
    <row r="15" spans="1:9" x14ac:dyDescent="0.35">
      <c r="A15" s="8" t="s">
        <v>49</v>
      </c>
      <c r="B15" s="26">
        <f>COUNTIFS('Dữ liệu sạch'!$M$2:$M$201,$A15,'Dữ liệu sạch'!$R$2:$R$201,"Hoàn thành")</f>
        <v>26</v>
      </c>
      <c r="C15" s="14">
        <f>SUMIFS('Dữ liệu sạch'!$W$2:$W$201,'Dữ liệu sạch'!$M$2:$M$201,$A15)</f>
        <v>61773800</v>
      </c>
      <c r="D15" s="28">
        <f t="shared" si="0"/>
        <v>0.17840259931355179</v>
      </c>
      <c r="E15" s="14">
        <f>SUMIFS('Dữ liệu sạch'!$X$2:$X$201,'Dữ liệu sạch'!$M$2:$M$201,$A15)</f>
        <v>25003800</v>
      </c>
      <c r="F15" s="28">
        <f t="shared" si="1"/>
        <v>0.40476383191579601</v>
      </c>
      <c r="G15" s="14">
        <f t="shared" si="2"/>
        <v>2375915.3846153845</v>
      </c>
      <c r="H15" s="28">
        <f t="shared" si="3"/>
        <v>0</v>
      </c>
      <c r="I15" s="26">
        <f>COUNTIFS('Dữ liệu sạch'!$M$2:$M$201,$A15)</f>
        <v>26</v>
      </c>
    </row>
    <row r="16" spans="1:9" x14ac:dyDescent="0.35">
      <c r="A16" s="8" t="s">
        <v>88</v>
      </c>
      <c r="B16" s="26">
        <f>COUNTIFS('Dữ liệu sạch'!$M$2:$M$201,$A16,'Dữ liệu sạch'!$R$2:$R$201,"Hoàn thành")</f>
        <v>23</v>
      </c>
      <c r="C16" s="14">
        <f>SUMIFS('Dữ liệu sạch'!$W$2:$W$201,'Dữ liệu sạch'!$M$2:$M$201,$A16)</f>
        <v>32075000</v>
      </c>
      <c r="D16" s="28">
        <f t="shared" si="0"/>
        <v>9.2632529858648394E-2</v>
      </c>
      <c r="E16" s="14">
        <f>SUMIFS('Dữ liệu sạch'!$X$2:$X$201,'Dữ liệu sạch'!$M$2:$M$201,$A16)</f>
        <v>12095000</v>
      </c>
      <c r="F16" s="28">
        <f t="shared" si="1"/>
        <v>0.37708495713172252</v>
      </c>
      <c r="G16" s="14">
        <f t="shared" si="2"/>
        <v>1394565.2173913044</v>
      </c>
      <c r="H16" s="28">
        <f t="shared" si="3"/>
        <v>0.11538461538461542</v>
      </c>
      <c r="I16" s="26">
        <f>COUNTIFS('Dữ liệu sạch'!$M$2:$M$201,$A16)</f>
        <v>26</v>
      </c>
    </row>
    <row r="17" spans="1:9" x14ac:dyDescent="0.35">
      <c r="A17" s="8" t="s">
        <v>106</v>
      </c>
      <c r="B17" s="26">
        <f>COUNTIFS('Dữ liệu sạch'!$M$2:$M$201,$A17,'Dữ liệu sạch'!$R$2:$R$201,"Hoàn thành")</f>
        <v>20</v>
      </c>
      <c r="C17" s="14">
        <f>SUMIFS('Dữ liệu sạch'!$W$2:$W$201,'Dữ liệu sạch'!$M$2:$M$201,$A17)</f>
        <v>36328300</v>
      </c>
      <c r="D17" s="28">
        <f t="shared" si="0"/>
        <v>0.10491605095756622</v>
      </c>
      <c r="E17" s="14">
        <f>SUMIFS('Dữ liệu sạch'!$X$2:$X$201,'Dữ liệu sạch'!$M$2:$M$201,$A17)</f>
        <v>13908300</v>
      </c>
      <c r="F17" s="28">
        <f t="shared" si="1"/>
        <v>0.38285028476421962</v>
      </c>
      <c r="G17" s="14">
        <f t="shared" si="2"/>
        <v>1816415</v>
      </c>
      <c r="H17" s="28">
        <f t="shared" si="3"/>
        <v>0.13043478260869568</v>
      </c>
      <c r="I17" s="26">
        <f>COUNTIFS('Dữ liệu sạch'!$M$2:$M$201,$A17)</f>
        <v>23</v>
      </c>
    </row>
    <row r="18" spans="1:9" x14ac:dyDescent="0.35">
      <c r="A18" s="8" t="s">
        <v>82</v>
      </c>
      <c r="B18" s="26">
        <f>COUNTIFS('Dữ liệu sạch'!$M$2:$M$201,$A18,'Dữ liệu sạch'!$R$2:$R$201,"Hoàn thành")</f>
        <v>13</v>
      </c>
      <c r="C18" s="14">
        <f>SUMIFS('Dữ liệu sạch'!$W$2:$W$201,'Dữ liệu sạch'!$M$2:$M$201,$A18)</f>
        <v>15916800</v>
      </c>
      <c r="D18" s="28">
        <f t="shared" si="0"/>
        <v>4.5967683593269984E-2</v>
      </c>
      <c r="E18" s="14">
        <f>SUMIFS('Dữ liệu sạch'!$X$2:$X$201,'Dữ liệu sạch'!$M$2:$M$201,$A18)</f>
        <v>7126800</v>
      </c>
      <c r="F18" s="28">
        <f t="shared" si="1"/>
        <v>0.44775331724969841</v>
      </c>
      <c r="G18" s="14">
        <f t="shared" si="2"/>
        <v>1224369.2307692308</v>
      </c>
      <c r="H18" s="28">
        <f t="shared" si="3"/>
        <v>7.1428571428571397E-2</v>
      </c>
      <c r="I18" s="26">
        <f>COUNTIFS('Dữ liệu sạch'!$M$2:$M$201,$A18)</f>
        <v>14</v>
      </c>
    </row>
    <row r="19" spans="1:9" x14ac:dyDescent="0.35">
      <c r="A19" s="8" t="s">
        <v>159</v>
      </c>
      <c r="B19" s="26">
        <f>COUNTIFS('Dữ liệu sạch'!$M$2:$M$201,$A19,'Dữ liệu sạch'!$R$2:$R$201,"Hoàn thành")</f>
        <v>13</v>
      </c>
      <c r="C19" s="14">
        <f>SUMIFS('Dữ liệu sạch'!$W$2:$W$201,'Dữ liệu sạch'!$M$2:$M$201,$A19)</f>
        <v>32852750</v>
      </c>
      <c r="D19" s="28">
        <f t="shared" si="0"/>
        <v>9.4878670157870951E-2</v>
      </c>
      <c r="E19" s="14">
        <f>SUMIFS('Dữ liệu sạch'!$X$2:$X$201,'Dữ liệu sạch'!$M$2:$M$201,$A19)</f>
        <v>11782750</v>
      </c>
      <c r="F19" s="28">
        <f t="shared" si="1"/>
        <v>0.35865338518084483</v>
      </c>
      <c r="G19" s="14">
        <f t="shared" si="2"/>
        <v>2527134.6153846155</v>
      </c>
      <c r="H19" s="28">
        <f t="shared" si="3"/>
        <v>0.1333333333333333</v>
      </c>
      <c r="I19" s="26">
        <f>COUNTIFS('Dữ liệu sạch'!$M$2:$M$201,$A19)</f>
        <v>15</v>
      </c>
    </row>
    <row r="20" spans="1:9" x14ac:dyDescent="0.35">
      <c r="A20" s="8" t="s">
        <v>492</v>
      </c>
      <c r="B20" s="26">
        <f>COUNTIFS('Dữ liệu sạch'!$M$2:$M$201,$A20,'Dữ liệu sạch'!$R$2:$R$201,"Hoàn thành")</f>
        <v>3</v>
      </c>
      <c r="C20" s="14">
        <f>SUMIFS('Dữ liệu sạch'!$W$2:$W$201,'Dữ liệu sạch'!$M$2:$M$201,$A20)</f>
        <v>5231500</v>
      </c>
      <c r="D20" s="28">
        <f t="shared" si="0"/>
        <v>1.5108560559797944E-2</v>
      </c>
      <c r="E20" s="14">
        <f>SUMIFS('Dữ liệu sạch'!$X$2:$X$201,'Dữ liệu sạch'!$M$2:$M$201,$A20)</f>
        <v>2371500</v>
      </c>
      <c r="F20" s="28">
        <f t="shared" si="1"/>
        <v>0.45331166969320463</v>
      </c>
      <c r="G20" s="14">
        <f t="shared" si="2"/>
        <v>1743833.3333333333</v>
      </c>
      <c r="H20" s="28">
        <f t="shared" si="3"/>
        <v>0.25</v>
      </c>
      <c r="I20" s="26">
        <f>COUNTIFS('Dữ liệu sạch'!$M$2:$M$201,$A20)</f>
        <v>4</v>
      </c>
    </row>
    <row r="21" spans="1:9" x14ac:dyDescent="0.35">
      <c r="A21" s="30" t="s">
        <v>498</v>
      </c>
      <c r="B21" s="41">
        <f>SUM(B12:B20)</f>
        <v>176</v>
      </c>
      <c r="C21" s="32">
        <f>SUM(C12:C20)</f>
        <v>346260650</v>
      </c>
      <c r="D21" s="42">
        <f>SUM(D12:D20)</f>
        <v>1</v>
      </c>
      <c r="E21" s="32">
        <f>SUM(E12:E20)</f>
        <v>131000650</v>
      </c>
      <c r="F21" s="42">
        <f t="shared" si="1"/>
        <v>0.37832959072883388</v>
      </c>
      <c r="G21" s="32">
        <f t="shared" si="2"/>
        <v>1967390.0568181819</v>
      </c>
      <c r="H21" s="42">
        <f t="shared" si="3"/>
        <v>0.12</v>
      </c>
      <c r="I21" s="41">
        <f>SUM(I12:I20)</f>
        <v>200</v>
      </c>
    </row>
    <row r="23" spans="1:9" ht="19.5" customHeight="1" x14ac:dyDescent="0.35">
      <c r="A23" s="5" t="s">
        <v>605</v>
      </c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30" t="s">
        <v>606</v>
      </c>
      <c r="B24" s="30" t="s">
        <v>607</v>
      </c>
    </row>
    <row r="25" spans="1:9" x14ac:dyDescent="0.35">
      <c r="A25" s="11" t="s">
        <v>608</v>
      </c>
      <c r="B25" s="52">
        <v>10000000</v>
      </c>
    </row>
    <row r="26" spans="1:9" x14ac:dyDescent="0.35">
      <c r="A26" s="11" t="s">
        <v>609</v>
      </c>
      <c r="B26" s="52">
        <v>5000000</v>
      </c>
    </row>
    <row r="27" spans="1:9" ht="15" customHeight="1" x14ac:dyDescent="0.35">
      <c r="A27" s="1"/>
      <c r="B27" s="1"/>
      <c r="C27" s="1"/>
      <c r="D27" s="1"/>
      <c r="E27" s="1"/>
      <c r="F27" s="1"/>
      <c r="G27" s="1"/>
      <c r="H27" s="1"/>
      <c r="I27" s="1"/>
    </row>
    <row r="28" spans="1:9" ht="31.5" customHeight="1" x14ac:dyDescent="0.35">
      <c r="A28" s="9" t="s">
        <v>610</v>
      </c>
      <c r="B28" s="9" t="s">
        <v>611</v>
      </c>
      <c r="C28" s="9" t="s">
        <v>31</v>
      </c>
      <c r="D28" s="9" t="s">
        <v>559</v>
      </c>
      <c r="E28" s="9" t="s">
        <v>612</v>
      </c>
    </row>
    <row r="29" spans="1:9" x14ac:dyDescent="0.35">
      <c r="A29" s="8" t="s">
        <v>613</v>
      </c>
      <c r="B29" s="26">
        <f>COUNTIF($H$54:$H$113,$A29)</f>
        <v>10</v>
      </c>
      <c r="C29" s="14">
        <f>SUMIFS($F$54:$F$113,$H$54:$H$113,$A29)</f>
        <v>142629000</v>
      </c>
      <c r="D29" s="28">
        <f>IF($C$33=0,0,C29/$C$33)</f>
        <v>0.41191224010005179</v>
      </c>
      <c r="E29" s="28">
        <f>IF($B$33=0,0,B29/$B$33)</f>
        <v>0.16666666666666666</v>
      </c>
    </row>
    <row r="30" spans="1:9" x14ac:dyDescent="0.35">
      <c r="A30" s="8" t="s">
        <v>614</v>
      </c>
      <c r="B30" s="26">
        <f>COUNTIF($H$54:$H$113,$A30)</f>
        <v>17</v>
      </c>
      <c r="C30" s="14">
        <f>SUMIFS($F$54:$F$113,$H$54:$H$113,$A30)</f>
        <v>114498900</v>
      </c>
      <c r="D30" s="28">
        <f>IF($C$33=0,0,C30/$C$33)</f>
        <v>0.33067257281472784</v>
      </c>
      <c r="E30" s="28">
        <f>IF($B$33=0,0,B30/$B$33)</f>
        <v>0.28333333333333333</v>
      </c>
    </row>
    <row r="31" spans="1:9" x14ac:dyDescent="0.35">
      <c r="A31" s="8" t="s">
        <v>615</v>
      </c>
      <c r="B31" s="26">
        <f>COUNTIF($H$54:$H$113,$A31)</f>
        <v>32</v>
      </c>
      <c r="C31" s="14">
        <f>SUMIFS($F$54:$F$113,$H$54:$H$113,$A31)</f>
        <v>89132750</v>
      </c>
      <c r="D31" s="28">
        <f>IF($C$33=0,0,C31/$C$33)</f>
        <v>0.25741518708522032</v>
      </c>
      <c r="E31" s="28">
        <f>IF($B$33=0,0,B31/$B$33)</f>
        <v>0.53333333333333333</v>
      </c>
    </row>
    <row r="32" spans="1:9" x14ac:dyDescent="0.35">
      <c r="A32" s="8" t="s">
        <v>616</v>
      </c>
      <c r="B32" s="26">
        <f>COUNTIF($H$54:$H$113,$A32)</f>
        <v>1</v>
      </c>
      <c r="C32" s="14">
        <f>SUMIFS($F$54:$F$113,$H$54:$H$113,$A32)</f>
        <v>0</v>
      </c>
      <c r="D32" s="28">
        <f>IF($C$33=0,0,C32/$C$33)</f>
        <v>0</v>
      </c>
      <c r="E32" s="28">
        <f>IF($B$33=0,0,B32/$B$33)</f>
        <v>1.6666666666666666E-2</v>
      </c>
    </row>
    <row r="33" spans="1:9" x14ac:dyDescent="0.35">
      <c r="A33" s="30" t="s">
        <v>498</v>
      </c>
      <c r="B33" s="41">
        <f>SUM(B29:B32)</f>
        <v>60</v>
      </c>
      <c r="C33" s="32">
        <f>SUM(C29:C32)</f>
        <v>346260650</v>
      </c>
      <c r="D33" s="42">
        <f>SUM(D29:D32)</f>
        <v>1</v>
      </c>
      <c r="E33" s="42">
        <f>SUM(E29:E32)</f>
        <v>1</v>
      </c>
    </row>
    <row r="35" spans="1:9" x14ac:dyDescent="0.35">
      <c r="A35" s="8" t="s">
        <v>617</v>
      </c>
      <c r="B35" s="26">
        <f>COUNTIF($E$54:$E$113,"&gt;0")</f>
        <v>59</v>
      </c>
    </row>
    <row r="36" spans="1:9" x14ac:dyDescent="0.35">
      <c r="A36" s="8" t="s">
        <v>618</v>
      </c>
      <c r="B36" s="28">
        <f>IF(B35=0,0,COUNTIF($E$54:$E$113,"&gt;=2")/B35)</f>
        <v>0.84745762711864403</v>
      </c>
    </row>
    <row r="38" spans="1:9" ht="19.5" customHeight="1" x14ac:dyDescent="0.35">
      <c r="A38" s="5" t="s">
        <v>619</v>
      </c>
      <c r="B38" s="5"/>
      <c r="C38" s="5"/>
      <c r="D38" s="5"/>
      <c r="E38" s="5"/>
      <c r="F38" s="5"/>
      <c r="G38" s="5"/>
      <c r="H38" s="5"/>
      <c r="I38" s="5"/>
    </row>
    <row r="39" spans="1:9" ht="31.5" customHeight="1" x14ac:dyDescent="0.35">
      <c r="A39" s="9" t="s">
        <v>588</v>
      </c>
      <c r="B39" s="9" t="s">
        <v>9</v>
      </c>
      <c r="C39" s="9" t="s">
        <v>7</v>
      </c>
      <c r="D39" s="9" t="s">
        <v>11</v>
      </c>
      <c r="E39" s="9" t="s">
        <v>538</v>
      </c>
      <c r="F39" s="9" t="s">
        <v>31</v>
      </c>
      <c r="G39" s="9" t="s">
        <v>566</v>
      </c>
      <c r="H39" s="9" t="s">
        <v>590</v>
      </c>
    </row>
    <row r="40" spans="1:9" x14ac:dyDescent="0.35">
      <c r="A40" s="26">
        <v>1</v>
      </c>
      <c r="B40" s="8" t="str">
        <f t="shared" ref="B40:B49" si="4">INDEX($B$54:$B$113,H40)</f>
        <v>Đại lý Hải Âu</v>
      </c>
      <c r="C40" s="10" t="str">
        <f t="shared" ref="C40:C49" si="5">INDEX($A$54:$A$113,H40)</f>
        <v>KH029</v>
      </c>
      <c r="D40" s="10" t="str">
        <f t="shared" ref="D40:D49" si="6">INDEX($C$54:$C$113,H40)</f>
        <v>Doanh nghiệp</v>
      </c>
      <c r="E40" s="26">
        <f t="shared" ref="E40:E49" si="7">INDEX($E$54:$E$113,H40)</f>
        <v>5</v>
      </c>
      <c r="F40" s="14">
        <f t="shared" ref="F40:F49" si="8">INDEX($F$54:$F$113,H40)</f>
        <v>23586000</v>
      </c>
      <c r="G40" s="28">
        <f t="shared" ref="G40:G49" si="9">F40/$D$8</f>
        <v>6.8116316422325199E-2</v>
      </c>
      <c r="H40" s="49">
        <f t="shared" ref="H40:H49" si="10">MATCH(LARGE($I$54:$I$113,A40),$I$54:$I$113,0)</f>
        <v>29</v>
      </c>
    </row>
    <row r="41" spans="1:9" x14ac:dyDescent="0.35">
      <c r="A41" s="26">
        <v>2</v>
      </c>
      <c r="B41" s="8" t="str">
        <f t="shared" si="4"/>
        <v>Công ty TNHH Phương Nam</v>
      </c>
      <c r="C41" s="10" t="str">
        <f t="shared" si="5"/>
        <v>KH033</v>
      </c>
      <c r="D41" s="10" t="str">
        <f t="shared" si="6"/>
        <v>Doanh nghiệp</v>
      </c>
      <c r="E41" s="26">
        <f t="shared" si="7"/>
        <v>4</v>
      </c>
      <c r="F41" s="14">
        <f t="shared" si="8"/>
        <v>16086000</v>
      </c>
      <c r="G41" s="28">
        <f t="shared" si="9"/>
        <v>4.6456332823264786E-2</v>
      </c>
      <c r="H41" s="49">
        <f t="shared" si="10"/>
        <v>33</v>
      </c>
    </row>
    <row r="42" spans="1:9" x14ac:dyDescent="0.35">
      <c r="A42" s="26">
        <v>3</v>
      </c>
      <c r="B42" s="8" t="str">
        <f t="shared" si="4"/>
        <v>Vũ Thanh Châu</v>
      </c>
      <c r="C42" s="10" t="str">
        <f t="shared" si="5"/>
        <v>KH052</v>
      </c>
      <c r="D42" s="10" t="str">
        <f t="shared" si="6"/>
        <v>Cá nhân</v>
      </c>
      <c r="E42" s="26">
        <f t="shared" si="7"/>
        <v>2</v>
      </c>
      <c r="F42" s="14">
        <f t="shared" si="8"/>
        <v>15200000</v>
      </c>
      <c r="G42" s="28">
        <f t="shared" si="9"/>
        <v>4.3897566760762452E-2</v>
      </c>
      <c r="H42" s="49">
        <f t="shared" si="10"/>
        <v>52</v>
      </c>
    </row>
    <row r="43" spans="1:9" x14ac:dyDescent="0.35">
      <c r="A43" s="26">
        <v>4</v>
      </c>
      <c r="B43" s="8" t="str">
        <f t="shared" si="4"/>
        <v>Công ty TNHH An Phát</v>
      </c>
      <c r="C43" s="10" t="str">
        <f t="shared" si="5"/>
        <v>KH007</v>
      </c>
      <c r="D43" s="10" t="str">
        <f t="shared" si="6"/>
        <v>Doanh nghiệp</v>
      </c>
      <c r="E43" s="26">
        <f t="shared" si="7"/>
        <v>3</v>
      </c>
      <c r="F43" s="14">
        <f t="shared" si="8"/>
        <v>14840000</v>
      </c>
      <c r="G43" s="28">
        <f t="shared" si="9"/>
        <v>4.2857887548007546E-2</v>
      </c>
      <c r="H43" s="49">
        <f t="shared" si="10"/>
        <v>7</v>
      </c>
    </row>
    <row r="44" spans="1:9" x14ac:dyDescent="0.35">
      <c r="A44" s="26">
        <v>5</v>
      </c>
      <c r="B44" s="8" t="str">
        <f t="shared" si="4"/>
        <v>Công ty TNHH Kim Long</v>
      </c>
      <c r="C44" s="10" t="str">
        <f t="shared" si="5"/>
        <v>KH047</v>
      </c>
      <c r="D44" s="10" t="str">
        <f t="shared" si="6"/>
        <v>Doanh nghiệp</v>
      </c>
      <c r="E44" s="26">
        <f t="shared" si="7"/>
        <v>2</v>
      </c>
      <c r="F44" s="14">
        <f t="shared" si="8"/>
        <v>13784000</v>
      </c>
      <c r="G44" s="28">
        <f t="shared" si="9"/>
        <v>3.9808161857259841E-2</v>
      </c>
      <c r="H44" s="49">
        <f t="shared" si="10"/>
        <v>47</v>
      </c>
    </row>
    <row r="45" spans="1:9" x14ac:dyDescent="0.35">
      <c r="A45" s="26">
        <v>6</v>
      </c>
      <c r="B45" s="8" t="str">
        <f t="shared" si="4"/>
        <v>Công ty TNHH Đại Dương</v>
      </c>
      <c r="C45" s="10" t="str">
        <f t="shared" si="5"/>
        <v>KH044</v>
      </c>
      <c r="D45" s="10" t="str">
        <f t="shared" si="6"/>
        <v>Doanh nghiệp</v>
      </c>
      <c r="E45" s="26">
        <f t="shared" si="7"/>
        <v>4</v>
      </c>
      <c r="F45" s="14">
        <f t="shared" si="8"/>
        <v>13447600</v>
      </c>
      <c r="G45" s="28">
        <f t="shared" si="9"/>
        <v>3.8836639392896652E-2</v>
      </c>
      <c r="H45" s="49">
        <f t="shared" si="10"/>
        <v>44</v>
      </c>
    </row>
    <row r="46" spans="1:9" x14ac:dyDescent="0.35">
      <c r="A46" s="26">
        <v>7</v>
      </c>
      <c r="B46" s="8" t="str">
        <f t="shared" si="4"/>
        <v>Lê Anh Mai</v>
      </c>
      <c r="C46" s="10" t="str">
        <f t="shared" si="5"/>
        <v>KH056</v>
      </c>
      <c r="D46" s="10" t="str">
        <f t="shared" si="6"/>
        <v>Cá nhân</v>
      </c>
      <c r="E46" s="26">
        <f t="shared" si="7"/>
        <v>7</v>
      </c>
      <c r="F46" s="14">
        <f t="shared" si="8"/>
        <v>13298400</v>
      </c>
      <c r="G46" s="28">
        <f t="shared" si="9"/>
        <v>3.8405750119166013E-2</v>
      </c>
      <c r="H46" s="49">
        <f t="shared" si="10"/>
        <v>56</v>
      </c>
    </row>
    <row r="47" spans="1:9" x14ac:dyDescent="0.35">
      <c r="A47" s="26">
        <v>8</v>
      </c>
      <c r="B47" s="8" t="str">
        <f t="shared" si="4"/>
        <v>Công ty CP Thành Công</v>
      </c>
      <c r="C47" s="10" t="str">
        <f t="shared" si="5"/>
        <v>KH021</v>
      </c>
      <c r="D47" s="10" t="str">
        <f t="shared" si="6"/>
        <v>Doanh nghiệp</v>
      </c>
      <c r="E47" s="26">
        <f t="shared" si="7"/>
        <v>2</v>
      </c>
      <c r="F47" s="14">
        <f t="shared" si="8"/>
        <v>11191000</v>
      </c>
      <c r="G47" s="28">
        <f t="shared" si="9"/>
        <v>3.2319583527611356E-2</v>
      </c>
      <c r="H47" s="49">
        <f t="shared" si="10"/>
        <v>21</v>
      </c>
    </row>
    <row r="48" spans="1:9" x14ac:dyDescent="0.35">
      <c r="A48" s="26">
        <v>9</v>
      </c>
      <c r="B48" s="8" t="str">
        <f t="shared" si="4"/>
        <v>Công ty TNHH Việt Tiến</v>
      </c>
      <c r="C48" s="10" t="str">
        <f t="shared" si="5"/>
        <v>KH045</v>
      </c>
      <c r="D48" s="10" t="str">
        <f t="shared" si="6"/>
        <v>Doanh nghiệp</v>
      </c>
      <c r="E48" s="26">
        <f t="shared" si="7"/>
        <v>2</v>
      </c>
      <c r="F48" s="14">
        <f t="shared" si="8"/>
        <v>11007000</v>
      </c>
      <c r="G48" s="28">
        <f t="shared" si="9"/>
        <v>3.1788191929981072E-2</v>
      </c>
      <c r="H48" s="49">
        <f t="shared" si="10"/>
        <v>45</v>
      </c>
    </row>
    <row r="49" spans="1:9" x14ac:dyDescent="0.35">
      <c r="A49" s="26">
        <v>10</v>
      </c>
      <c r="B49" s="8" t="str">
        <f t="shared" si="4"/>
        <v>Cửa hàng Hoa Mai</v>
      </c>
      <c r="C49" s="10" t="str">
        <f t="shared" si="5"/>
        <v>KH038</v>
      </c>
      <c r="D49" s="10" t="str">
        <f t="shared" si="6"/>
        <v>Doanh nghiệp</v>
      </c>
      <c r="E49" s="26">
        <f t="shared" si="7"/>
        <v>2</v>
      </c>
      <c r="F49" s="14">
        <f t="shared" si="8"/>
        <v>10189000</v>
      </c>
      <c r="G49" s="28">
        <f t="shared" si="9"/>
        <v>2.9425809718776882E-2</v>
      </c>
      <c r="H49" s="49">
        <f t="shared" si="10"/>
        <v>38</v>
      </c>
    </row>
    <row r="50" spans="1:9" x14ac:dyDescent="0.35">
      <c r="A50" s="31" t="s">
        <v>620</v>
      </c>
      <c r="B50" s="30"/>
      <c r="C50" s="30"/>
      <c r="D50" s="30"/>
      <c r="E50" s="30"/>
      <c r="F50" s="32">
        <f>SUM(F40:F49)</f>
        <v>142629000</v>
      </c>
      <c r="G50" s="42">
        <f>SUM(G40:G49)</f>
        <v>0.41191224010005184</v>
      </c>
      <c r="H50" s="30"/>
    </row>
    <row r="52" spans="1:9" ht="19.5" customHeight="1" x14ac:dyDescent="0.35">
      <c r="A52" s="5" t="s">
        <v>621</v>
      </c>
      <c r="B52" s="5"/>
      <c r="C52" s="5"/>
      <c r="D52" s="5"/>
      <c r="E52" s="5"/>
      <c r="F52" s="5"/>
      <c r="G52" s="5"/>
      <c r="H52" s="5"/>
      <c r="I52" s="5"/>
    </row>
    <row r="53" spans="1:9" ht="31.5" customHeight="1" x14ac:dyDescent="0.35">
      <c r="A53" s="9" t="s">
        <v>7</v>
      </c>
      <c r="B53" s="9" t="s">
        <v>9</v>
      </c>
      <c r="C53" s="9" t="s">
        <v>11</v>
      </c>
      <c r="D53" s="9" t="s">
        <v>13</v>
      </c>
      <c r="E53" s="9" t="s">
        <v>538</v>
      </c>
      <c r="F53" s="9" t="s">
        <v>31</v>
      </c>
      <c r="G53" s="9" t="s">
        <v>33</v>
      </c>
      <c r="H53" s="9" t="s">
        <v>610</v>
      </c>
      <c r="I53" s="9" t="s">
        <v>586</v>
      </c>
    </row>
    <row r="54" spans="1:9" x14ac:dyDescent="0.35">
      <c r="A54" s="10" t="s">
        <v>8</v>
      </c>
      <c r="B54" s="8" t="s">
        <v>129</v>
      </c>
      <c r="C54" s="8" t="s">
        <v>40</v>
      </c>
      <c r="D54" s="8" t="s">
        <v>63</v>
      </c>
      <c r="E54" s="26">
        <f>COUNTIFS('Dữ liệu sạch'!$E$2:$E$201,$A54,'Dữ liệu sạch'!$R$2:$R$201,"Hoàn thành")</f>
        <v>3</v>
      </c>
      <c r="F54" s="14">
        <f>SUMIFS('Dữ liệu sạch'!$W$2:$W$201,'Dữ liệu sạch'!$E$2:$E$201,$A54)</f>
        <v>4855500</v>
      </c>
      <c r="G54" s="14">
        <f>SUMIFS('Dữ liệu sạch'!$X$2:$X$201,'Dữ liệu sạch'!$E$2:$E$201,$A54)</f>
        <v>1915500</v>
      </c>
      <c r="H54" s="10" t="str">
        <f t="shared" ref="H54:H85" si="11">IF(F54=0,"Không phát sinh",IF(F54&gt;=$B$25,"VIP",IF(F54&gt;=$B$26,"Thân thiết","Tiềm năng")))</f>
        <v>Tiềm năng</v>
      </c>
      <c r="I54" s="47">
        <f t="shared" ref="I54:I85" si="12">F54+ROW()/1000000</f>
        <v>4855500.0000539999</v>
      </c>
    </row>
    <row r="55" spans="1:9" x14ac:dyDescent="0.35">
      <c r="A55" s="10" t="s">
        <v>181</v>
      </c>
      <c r="B55" s="8" t="s">
        <v>182</v>
      </c>
      <c r="C55" s="8" t="s">
        <v>40</v>
      </c>
      <c r="D55" s="8" t="s">
        <v>41</v>
      </c>
      <c r="E55" s="26">
        <f>COUNTIFS('Dữ liệu sạch'!$E$2:$E$201,$A55,'Dữ liệu sạch'!$R$2:$R$201,"Hoàn thành")</f>
        <v>3</v>
      </c>
      <c r="F55" s="14">
        <f>SUMIFS('Dữ liệu sạch'!$W$2:$W$201,'Dữ liệu sạch'!$E$2:$E$201,$A55)</f>
        <v>4101800</v>
      </c>
      <c r="G55" s="14">
        <f>SUMIFS('Dữ liệu sạch'!$X$2:$X$201,'Dữ liệu sạch'!$E$2:$E$201,$A55)</f>
        <v>1621800</v>
      </c>
      <c r="H55" s="10" t="str">
        <f t="shared" si="11"/>
        <v>Tiềm năng</v>
      </c>
      <c r="I55" s="47">
        <f t="shared" si="12"/>
        <v>4101800.0000550002</v>
      </c>
    </row>
    <row r="56" spans="1:9" x14ac:dyDescent="0.35">
      <c r="A56" s="10" t="s">
        <v>402</v>
      </c>
      <c r="B56" s="8" t="s">
        <v>403</v>
      </c>
      <c r="C56" s="8" t="s">
        <v>40</v>
      </c>
      <c r="D56" s="8" t="s">
        <v>41</v>
      </c>
      <c r="E56" s="26">
        <f>COUNTIFS('Dữ liệu sạch'!$E$2:$E$201,$A56,'Dữ liệu sạch'!$R$2:$R$201,"Hoàn thành")</f>
        <v>1</v>
      </c>
      <c r="F56" s="14">
        <f>SUMIFS('Dữ liệu sạch'!$W$2:$W$201,'Dữ liệu sạch'!$E$2:$E$201,$A56)</f>
        <v>2250000</v>
      </c>
      <c r="G56" s="14">
        <f>SUMIFS('Dữ liệu sạch'!$X$2:$X$201,'Dữ liệu sạch'!$E$2:$E$201,$A56)</f>
        <v>1080000</v>
      </c>
      <c r="H56" s="10" t="str">
        <f t="shared" si="11"/>
        <v>Tiềm năng</v>
      </c>
      <c r="I56" s="47">
        <f t="shared" si="12"/>
        <v>2250000.000056</v>
      </c>
    </row>
    <row r="57" spans="1:9" x14ac:dyDescent="0.35">
      <c r="A57" s="10" t="s">
        <v>178</v>
      </c>
      <c r="B57" s="8" t="s">
        <v>179</v>
      </c>
      <c r="C57" s="8" t="s">
        <v>40</v>
      </c>
      <c r="D57" s="8" t="s">
        <v>41</v>
      </c>
      <c r="E57" s="26">
        <f>COUNTIFS('Dữ liệu sạch'!$E$2:$E$201,$A57,'Dữ liệu sạch'!$R$2:$R$201,"Hoàn thành")</f>
        <v>4</v>
      </c>
      <c r="F57" s="14">
        <f>SUMIFS('Dữ liệu sạch'!$W$2:$W$201,'Dữ liệu sạch'!$E$2:$E$201,$A57)</f>
        <v>6537200</v>
      </c>
      <c r="G57" s="14">
        <f>SUMIFS('Dữ liệu sạch'!$X$2:$X$201,'Dữ liệu sạch'!$E$2:$E$201,$A57)</f>
        <v>3227200</v>
      </c>
      <c r="H57" s="10" t="str">
        <f t="shared" si="11"/>
        <v>Thân thiết</v>
      </c>
      <c r="I57" s="47">
        <f t="shared" si="12"/>
        <v>6537200.0000569997</v>
      </c>
    </row>
    <row r="58" spans="1:9" x14ac:dyDescent="0.35">
      <c r="A58" s="10" t="s">
        <v>266</v>
      </c>
      <c r="B58" s="8" t="s">
        <v>267</v>
      </c>
      <c r="C58" s="8" t="s">
        <v>40</v>
      </c>
      <c r="D58" s="8" t="s">
        <v>41</v>
      </c>
      <c r="E58" s="26">
        <f>COUNTIFS('Dữ liệu sạch'!$E$2:$E$201,$A58,'Dữ liệu sạch'!$R$2:$R$201,"Hoàn thành")</f>
        <v>4</v>
      </c>
      <c r="F58" s="14">
        <f>SUMIFS('Dữ liệu sạch'!$W$2:$W$201,'Dữ liệu sạch'!$E$2:$E$201,$A58)</f>
        <v>3322000</v>
      </c>
      <c r="G58" s="14">
        <f>SUMIFS('Dữ liệu sạch'!$X$2:$X$201,'Dữ liệu sạch'!$E$2:$E$201,$A58)</f>
        <v>1602000</v>
      </c>
      <c r="H58" s="10" t="str">
        <f t="shared" si="11"/>
        <v>Tiềm năng</v>
      </c>
      <c r="I58" s="47">
        <f t="shared" si="12"/>
        <v>3322000.000058</v>
      </c>
    </row>
    <row r="59" spans="1:9" x14ac:dyDescent="0.35">
      <c r="A59" s="10" t="s">
        <v>226</v>
      </c>
      <c r="B59" s="8" t="s">
        <v>227</v>
      </c>
      <c r="C59" s="8" t="s">
        <v>40</v>
      </c>
      <c r="D59" s="8" t="s">
        <v>41</v>
      </c>
      <c r="E59" s="26">
        <f>COUNTIFS('Dữ liệu sạch'!$E$2:$E$201,$A59,'Dữ liệu sạch'!$R$2:$R$201,"Hoàn thành")</f>
        <v>3</v>
      </c>
      <c r="F59" s="14">
        <f>SUMIFS('Dữ liệu sạch'!$W$2:$W$201,'Dữ liệu sạch'!$E$2:$E$201,$A59)</f>
        <v>3512150</v>
      </c>
      <c r="G59" s="14">
        <f>SUMIFS('Dữ liệu sạch'!$X$2:$X$201,'Dữ liệu sạch'!$E$2:$E$201,$A59)</f>
        <v>1442150</v>
      </c>
      <c r="H59" s="10" t="str">
        <f t="shared" si="11"/>
        <v>Tiềm năng</v>
      </c>
      <c r="I59" s="47">
        <f t="shared" si="12"/>
        <v>3512150.0000590002</v>
      </c>
    </row>
    <row r="60" spans="1:9" x14ac:dyDescent="0.35">
      <c r="A60" s="10" t="s">
        <v>164</v>
      </c>
      <c r="B60" s="8" t="s">
        <v>165</v>
      </c>
      <c r="C60" s="8" t="s">
        <v>12</v>
      </c>
      <c r="D60" s="8" t="s">
        <v>14</v>
      </c>
      <c r="E60" s="26">
        <f>COUNTIFS('Dữ liệu sạch'!$E$2:$E$201,$A60,'Dữ liệu sạch'!$R$2:$R$201,"Hoàn thành")</f>
        <v>3</v>
      </c>
      <c r="F60" s="14">
        <f>SUMIFS('Dữ liệu sạch'!$W$2:$W$201,'Dữ liệu sạch'!$E$2:$E$201,$A60)</f>
        <v>14840000</v>
      </c>
      <c r="G60" s="14">
        <f>SUMIFS('Dữ liệu sạch'!$X$2:$X$201,'Dữ liệu sạch'!$E$2:$E$201,$A60)</f>
        <v>4960000</v>
      </c>
      <c r="H60" s="10" t="str">
        <f t="shared" si="11"/>
        <v>VIP</v>
      </c>
      <c r="I60" s="47">
        <f t="shared" si="12"/>
        <v>14840000.00006</v>
      </c>
    </row>
    <row r="61" spans="1:9" x14ac:dyDescent="0.35">
      <c r="A61" s="10" t="s">
        <v>68</v>
      </c>
      <c r="B61" s="8" t="s">
        <v>69</v>
      </c>
      <c r="C61" s="8" t="s">
        <v>40</v>
      </c>
      <c r="D61" s="8" t="s">
        <v>14</v>
      </c>
      <c r="E61" s="26">
        <f>COUNTIFS('Dữ liệu sạch'!$E$2:$E$201,$A61,'Dữ liệu sạch'!$R$2:$R$201,"Hoàn thành")</f>
        <v>5</v>
      </c>
      <c r="F61" s="14">
        <f>SUMIFS('Dữ liệu sạch'!$W$2:$W$201,'Dữ liệu sạch'!$E$2:$E$201,$A61)</f>
        <v>4449000</v>
      </c>
      <c r="G61" s="14">
        <f>SUMIFS('Dữ liệu sạch'!$X$2:$X$201,'Dữ liệu sạch'!$E$2:$E$201,$A61)</f>
        <v>1749000</v>
      </c>
      <c r="H61" s="10" t="str">
        <f t="shared" si="11"/>
        <v>Tiềm năng</v>
      </c>
      <c r="I61" s="47">
        <f t="shared" si="12"/>
        <v>4449000.0000609998</v>
      </c>
    </row>
    <row r="62" spans="1:9" x14ac:dyDescent="0.35">
      <c r="A62" s="10" t="s">
        <v>142</v>
      </c>
      <c r="B62" s="8" t="s">
        <v>143</v>
      </c>
      <c r="C62" s="8" t="s">
        <v>12</v>
      </c>
      <c r="D62" s="8" t="s">
        <v>41</v>
      </c>
      <c r="E62" s="26">
        <f>COUNTIFS('Dữ liệu sạch'!$E$2:$E$201,$A62,'Dữ liệu sạch'!$R$2:$R$201,"Hoàn thành")</f>
        <v>2</v>
      </c>
      <c r="F62" s="14">
        <f>SUMIFS('Dữ liệu sạch'!$W$2:$W$201,'Dữ liệu sạch'!$E$2:$E$201,$A62)</f>
        <v>9952000</v>
      </c>
      <c r="G62" s="14">
        <f>SUMIFS('Dữ liệu sạch'!$X$2:$X$201,'Dữ liệu sạch'!$E$2:$E$201,$A62)</f>
        <v>3332000</v>
      </c>
      <c r="H62" s="10" t="str">
        <f t="shared" si="11"/>
        <v>Thân thiết</v>
      </c>
      <c r="I62" s="47">
        <f t="shared" si="12"/>
        <v>9952000.000062</v>
      </c>
    </row>
    <row r="63" spans="1:9" x14ac:dyDescent="0.35">
      <c r="A63" s="10" t="s">
        <v>125</v>
      </c>
      <c r="B63" s="8" t="s">
        <v>126</v>
      </c>
      <c r="C63" s="8" t="s">
        <v>40</v>
      </c>
      <c r="D63" s="8" t="s">
        <v>63</v>
      </c>
      <c r="E63" s="26">
        <f>COUNTIFS('Dữ liệu sạch'!$E$2:$E$201,$A63,'Dữ liệu sạch'!$R$2:$R$201,"Hoàn thành")</f>
        <v>4</v>
      </c>
      <c r="F63" s="14">
        <f>SUMIFS('Dữ liệu sạch'!$W$2:$W$201,'Dữ liệu sạch'!$E$2:$E$201,$A63)</f>
        <v>4044000</v>
      </c>
      <c r="G63" s="14">
        <f>SUMIFS('Dữ liệu sạch'!$X$2:$X$201,'Dữ liệu sạch'!$E$2:$E$201,$A63)</f>
        <v>1474000</v>
      </c>
      <c r="H63" s="10" t="str">
        <f t="shared" si="11"/>
        <v>Tiềm năng</v>
      </c>
      <c r="I63" s="47">
        <f t="shared" si="12"/>
        <v>4044000.0000629998</v>
      </c>
    </row>
    <row r="64" spans="1:9" x14ac:dyDescent="0.35">
      <c r="A64" s="10" t="s">
        <v>95</v>
      </c>
      <c r="B64" s="8" t="s">
        <v>10</v>
      </c>
      <c r="C64" s="8" t="s">
        <v>12</v>
      </c>
      <c r="D64" s="8" t="s">
        <v>41</v>
      </c>
      <c r="E64" s="26">
        <f>COUNTIFS('Dữ liệu sạch'!$E$2:$E$201,$A64,'Dữ liệu sạch'!$R$2:$R$201,"Hoàn thành")</f>
        <v>4</v>
      </c>
      <c r="F64" s="14">
        <f>SUMIFS('Dữ liệu sạch'!$W$2:$W$201,'Dữ liệu sạch'!$E$2:$E$201,$A64)</f>
        <v>4020400</v>
      </c>
      <c r="G64" s="14">
        <f>SUMIFS('Dữ liệu sạch'!$X$2:$X$201,'Dữ liệu sạch'!$E$2:$E$201,$A64)</f>
        <v>1490400</v>
      </c>
      <c r="H64" s="10" t="str">
        <f t="shared" si="11"/>
        <v>Tiềm năng</v>
      </c>
      <c r="I64" s="47">
        <f t="shared" si="12"/>
        <v>4020400.000064</v>
      </c>
    </row>
    <row r="65" spans="1:9" x14ac:dyDescent="0.35">
      <c r="A65" s="10" t="s">
        <v>254</v>
      </c>
      <c r="B65" s="8" t="s">
        <v>255</v>
      </c>
      <c r="C65" s="8" t="s">
        <v>40</v>
      </c>
      <c r="D65" s="8" t="s">
        <v>14</v>
      </c>
      <c r="E65" s="26">
        <f>COUNTIFS('Dữ liệu sạch'!$E$2:$E$201,$A65,'Dữ liệu sạch'!$R$2:$R$201,"Hoàn thành")</f>
        <v>2</v>
      </c>
      <c r="F65" s="14">
        <f>SUMIFS('Dữ liệu sạch'!$W$2:$W$201,'Dữ liệu sạch'!$E$2:$E$201,$A65)</f>
        <v>6969000</v>
      </c>
      <c r="G65" s="14">
        <f>SUMIFS('Dữ liệu sạch'!$X$2:$X$201,'Dữ liệu sạch'!$E$2:$E$201,$A65)</f>
        <v>3049000</v>
      </c>
      <c r="H65" s="10" t="str">
        <f t="shared" si="11"/>
        <v>Thân thiết</v>
      </c>
      <c r="I65" s="47">
        <f t="shared" si="12"/>
        <v>6969000.0000649998</v>
      </c>
    </row>
    <row r="66" spans="1:9" x14ac:dyDescent="0.35">
      <c r="A66" s="10" t="s">
        <v>118</v>
      </c>
      <c r="B66" s="8" t="s">
        <v>119</v>
      </c>
      <c r="C66" s="8" t="s">
        <v>40</v>
      </c>
      <c r="D66" s="8" t="s">
        <v>14</v>
      </c>
      <c r="E66" s="26">
        <f>COUNTIFS('Dữ liệu sạch'!$E$2:$E$201,$A66,'Dữ liệu sạch'!$R$2:$R$201,"Hoàn thành")</f>
        <v>6</v>
      </c>
      <c r="F66" s="14">
        <f>SUMIFS('Dữ liệu sạch'!$W$2:$W$201,'Dữ liệu sạch'!$E$2:$E$201,$A66)</f>
        <v>4574300</v>
      </c>
      <c r="G66" s="14">
        <f>SUMIFS('Dữ liệu sạch'!$X$2:$X$201,'Dữ liệu sạch'!$E$2:$E$201,$A66)</f>
        <v>1974300</v>
      </c>
      <c r="H66" s="10" t="str">
        <f t="shared" si="11"/>
        <v>Tiềm năng</v>
      </c>
      <c r="I66" s="47">
        <f t="shared" si="12"/>
        <v>4574300.000066</v>
      </c>
    </row>
    <row r="67" spans="1:9" x14ac:dyDescent="0.35">
      <c r="A67" s="10" t="s">
        <v>309</v>
      </c>
      <c r="B67" s="8" t="s">
        <v>310</v>
      </c>
      <c r="C67" s="8" t="s">
        <v>40</v>
      </c>
      <c r="D67" s="8" t="s">
        <v>41</v>
      </c>
      <c r="E67" s="26">
        <f>COUNTIFS('Dữ liệu sạch'!$E$2:$E$201,$A67,'Dữ liệu sạch'!$R$2:$R$201,"Hoàn thành")</f>
        <v>1</v>
      </c>
      <c r="F67" s="14">
        <f>SUMIFS('Dữ liệu sạch'!$W$2:$W$201,'Dữ liệu sạch'!$E$2:$E$201,$A67)</f>
        <v>361000</v>
      </c>
      <c r="G67" s="14">
        <f>SUMIFS('Dữ liệu sạch'!$X$2:$X$201,'Dữ liệu sạch'!$E$2:$E$201,$A67)</f>
        <v>111000</v>
      </c>
      <c r="H67" s="10" t="str">
        <f t="shared" si="11"/>
        <v>Tiềm năng</v>
      </c>
      <c r="I67" s="47">
        <f t="shared" si="12"/>
        <v>361000.00006699999</v>
      </c>
    </row>
    <row r="68" spans="1:9" x14ac:dyDescent="0.35">
      <c r="A68" s="10" t="s">
        <v>232</v>
      </c>
      <c r="B68" s="8" t="s">
        <v>233</v>
      </c>
      <c r="C68" s="8" t="s">
        <v>40</v>
      </c>
      <c r="D68" s="8" t="s">
        <v>41</v>
      </c>
      <c r="E68" s="26">
        <f>COUNTIFS('Dữ liệu sạch'!$E$2:$E$201,$A68,'Dữ liệu sạch'!$R$2:$R$201,"Hoàn thành")</f>
        <v>3</v>
      </c>
      <c r="F68" s="14">
        <f>SUMIFS('Dữ liệu sạch'!$W$2:$W$201,'Dữ liệu sạch'!$E$2:$E$201,$A68)</f>
        <v>2132000</v>
      </c>
      <c r="G68" s="14">
        <f>SUMIFS('Dữ liệu sạch'!$X$2:$X$201,'Dữ liệu sạch'!$E$2:$E$201,$A68)</f>
        <v>922000</v>
      </c>
      <c r="H68" s="10" t="str">
        <f t="shared" si="11"/>
        <v>Tiềm năng</v>
      </c>
      <c r="I68" s="47">
        <f t="shared" si="12"/>
        <v>2132000.0000680001</v>
      </c>
    </row>
    <row r="69" spans="1:9" x14ac:dyDescent="0.35">
      <c r="A69" s="10" t="s">
        <v>210</v>
      </c>
      <c r="B69" s="8" t="s">
        <v>211</v>
      </c>
      <c r="C69" s="8" t="s">
        <v>40</v>
      </c>
      <c r="D69" s="8" t="s">
        <v>14</v>
      </c>
      <c r="E69" s="26">
        <f>COUNTIFS('Dữ liệu sạch'!$E$2:$E$201,$A69,'Dữ liệu sạch'!$R$2:$R$201,"Hoàn thành")</f>
        <v>1</v>
      </c>
      <c r="F69" s="14">
        <f>SUMIFS('Dữ liệu sạch'!$W$2:$W$201,'Dữ liệu sạch'!$E$2:$E$201,$A69)</f>
        <v>1425000</v>
      </c>
      <c r="G69" s="14">
        <f>SUMIFS('Dữ liệu sạch'!$X$2:$X$201,'Dữ liệu sạch'!$E$2:$E$201,$A69)</f>
        <v>645000</v>
      </c>
      <c r="H69" s="10" t="str">
        <f t="shared" si="11"/>
        <v>Tiềm năng</v>
      </c>
      <c r="I69" s="47">
        <f t="shared" si="12"/>
        <v>1425000.0000690001</v>
      </c>
    </row>
    <row r="70" spans="1:9" x14ac:dyDescent="0.35">
      <c r="A70" s="10" t="s">
        <v>236</v>
      </c>
      <c r="B70" s="8" t="s">
        <v>237</v>
      </c>
      <c r="C70" s="8" t="s">
        <v>40</v>
      </c>
      <c r="D70" s="8" t="s">
        <v>63</v>
      </c>
      <c r="E70" s="26">
        <f>COUNTIFS('Dữ liệu sạch'!$E$2:$E$201,$A70,'Dữ liệu sạch'!$R$2:$R$201,"Hoàn thành")</f>
        <v>3</v>
      </c>
      <c r="F70" s="14">
        <f>SUMIFS('Dữ liệu sạch'!$W$2:$W$201,'Dữ liệu sạch'!$E$2:$E$201,$A70)</f>
        <v>6750000</v>
      </c>
      <c r="G70" s="14">
        <f>SUMIFS('Dữ liệu sạch'!$X$2:$X$201,'Dữ liệu sạch'!$E$2:$E$201,$A70)</f>
        <v>2420000</v>
      </c>
      <c r="H70" s="10" t="str">
        <f t="shared" si="11"/>
        <v>Thân thiết</v>
      </c>
      <c r="I70" s="47">
        <f t="shared" si="12"/>
        <v>6750000.0000700001</v>
      </c>
    </row>
    <row r="71" spans="1:9" x14ac:dyDescent="0.35">
      <c r="A71" s="10" t="s">
        <v>422</v>
      </c>
      <c r="B71" s="8" t="s">
        <v>423</v>
      </c>
      <c r="C71" s="8" t="s">
        <v>12</v>
      </c>
      <c r="D71" s="8" t="s">
        <v>41</v>
      </c>
      <c r="E71" s="26">
        <f>COUNTIFS('Dữ liệu sạch'!$E$2:$E$201,$A71,'Dữ liệu sạch'!$R$2:$R$201,"Hoàn thành")</f>
        <v>1</v>
      </c>
      <c r="F71" s="14">
        <f>SUMIFS('Dữ liệu sạch'!$W$2:$W$201,'Dữ liệu sạch'!$E$2:$E$201,$A71)</f>
        <v>5670000</v>
      </c>
      <c r="G71" s="14">
        <f>SUMIFS('Dữ liệu sạch'!$X$2:$X$201,'Dữ liệu sạch'!$E$2:$E$201,$A71)</f>
        <v>2070000</v>
      </c>
      <c r="H71" s="10" t="str">
        <f t="shared" si="11"/>
        <v>Thân thiết</v>
      </c>
      <c r="I71" s="47">
        <f t="shared" si="12"/>
        <v>5670000.0000710003</v>
      </c>
    </row>
    <row r="72" spans="1:9" x14ac:dyDescent="0.35">
      <c r="A72" s="10" t="s">
        <v>363</v>
      </c>
      <c r="B72" s="8" t="s">
        <v>364</v>
      </c>
      <c r="C72" s="8" t="s">
        <v>40</v>
      </c>
      <c r="D72" s="8" t="s">
        <v>14</v>
      </c>
      <c r="E72" s="26">
        <f>COUNTIFS('Dữ liệu sạch'!$E$2:$E$201,$A72,'Dữ liệu sạch'!$R$2:$R$201,"Hoàn thành")</f>
        <v>1</v>
      </c>
      <c r="F72" s="14">
        <f>SUMIFS('Dữ liệu sạch'!$W$2:$W$201,'Dữ liệu sạch'!$E$2:$E$201,$A72)</f>
        <v>2160000</v>
      </c>
      <c r="G72" s="14">
        <f>SUMIFS('Dữ liệu sạch'!$X$2:$X$201,'Dữ liệu sạch'!$E$2:$E$201,$A72)</f>
        <v>720000</v>
      </c>
      <c r="H72" s="10" t="str">
        <f t="shared" si="11"/>
        <v>Tiềm năng</v>
      </c>
      <c r="I72" s="47">
        <f t="shared" si="12"/>
        <v>2160000.0000720001</v>
      </c>
    </row>
    <row r="73" spans="1:9" x14ac:dyDescent="0.35">
      <c r="A73" s="10" t="s">
        <v>133</v>
      </c>
      <c r="B73" s="8" t="s">
        <v>134</v>
      </c>
      <c r="C73" s="8" t="s">
        <v>40</v>
      </c>
      <c r="D73" s="8" t="s">
        <v>14</v>
      </c>
      <c r="E73" s="26">
        <f>COUNTIFS('Dữ liệu sạch'!$E$2:$E$201,$A73,'Dữ liệu sạch'!$R$2:$R$201,"Hoàn thành")</f>
        <v>3</v>
      </c>
      <c r="F73" s="14">
        <f>SUMIFS('Dữ liệu sạch'!$W$2:$W$201,'Dữ liệu sạch'!$E$2:$E$201,$A73)</f>
        <v>7500000</v>
      </c>
      <c r="G73" s="14">
        <f>SUMIFS('Dữ liệu sạch'!$X$2:$X$201,'Dữ liệu sạch'!$E$2:$E$201,$A73)</f>
        <v>2650000</v>
      </c>
      <c r="H73" s="10" t="str">
        <f t="shared" si="11"/>
        <v>Thân thiết</v>
      </c>
      <c r="I73" s="47">
        <f t="shared" si="12"/>
        <v>7500000.0000729999</v>
      </c>
    </row>
    <row r="74" spans="1:9" x14ac:dyDescent="0.35">
      <c r="A74" s="10" t="s">
        <v>305</v>
      </c>
      <c r="B74" s="8" t="s">
        <v>306</v>
      </c>
      <c r="C74" s="8" t="s">
        <v>12</v>
      </c>
      <c r="D74" s="8" t="s">
        <v>41</v>
      </c>
      <c r="E74" s="26">
        <f>COUNTIFS('Dữ liệu sạch'!$E$2:$E$201,$A74,'Dữ liệu sạch'!$R$2:$R$201,"Hoàn thành")</f>
        <v>2</v>
      </c>
      <c r="F74" s="14">
        <f>SUMIFS('Dữ liệu sạch'!$W$2:$W$201,'Dữ liệu sạch'!$E$2:$E$201,$A74)</f>
        <v>11191000</v>
      </c>
      <c r="G74" s="14">
        <f>SUMIFS('Dữ liệu sạch'!$X$2:$X$201,'Dữ liệu sạch'!$E$2:$E$201,$A74)</f>
        <v>3751000</v>
      </c>
      <c r="H74" s="10" t="str">
        <f t="shared" si="11"/>
        <v>VIP</v>
      </c>
      <c r="I74" s="47">
        <f t="shared" si="12"/>
        <v>11191000.000073999</v>
      </c>
    </row>
    <row r="75" spans="1:9" x14ac:dyDescent="0.35">
      <c r="A75" s="10" t="s">
        <v>323</v>
      </c>
      <c r="B75" s="8" t="s">
        <v>324</v>
      </c>
      <c r="C75" s="8" t="s">
        <v>40</v>
      </c>
      <c r="D75" s="8" t="s">
        <v>41</v>
      </c>
      <c r="E75" s="26">
        <f>COUNTIFS('Dữ liệu sạch'!$E$2:$E$201,$A75,'Dữ liệu sạch'!$R$2:$R$201,"Hoàn thành")</f>
        <v>2</v>
      </c>
      <c r="F75" s="14">
        <f>SUMIFS('Dữ liệu sạch'!$W$2:$W$201,'Dữ liệu sạch'!$E$2:$E$201,$A75)</f>
        <v>1396650</v>
      </c>
      <c r="G75" s="14">
        <f>SUMIFS('Dữ liệu sạch'!$X$2:$X$201,'Dữ liệu sạch'!$E$2:$E$201,$A75)</f>
        <v>556650</v>
      </c>
      <c r="H75" s="10" t="str">
        <f t="shared" si="11"/>
        <v>Tiềm năng</v>
      </c>
      <c r="I75" s="47">
        <f t="shared" si="12"/>
        <v>1396650.0000750001</v>
      </c>
    </row>
    <row r="76" spans="1:9" x14ac:dyDescent="0.35">
      <c r="A76" s="10" t="s">
        <v>213</v>
      </c>
      <c r="B76" s="8" t="s">
        <v>214</v>
      </c>
      <c r="C76" s="8" t="s">
        <v>40</v>
      </c>
      <c r="D76" s="8" t="s">
        <v>14</v>
      </c>
      <c r="E76" s="26">
        <f>COUNTIFS('Dữ liệu sạch'!$E$2:$E$201,$A76,'Dữ liệu sạch'!$R$2:$R$201,"Hoàn thành")</f>
        <v>2</v>
      </c>
      <c r="F76" s="14">
        <f>SUMIFS('Dữ liệu sạch'!$W$2:$W$201,'Dữ liệu sạch'!$E$2:$E$201,$A76)</f>
        <v>565000</v>
      </c>
      <c r="G76" s="14">
        <f>SUMIFS('Dữ liệu sạch'!$X$2:$X$201,'Dữ liệu sạch'!$E$2:$E$201,$A76)</f>
        <v>325000</v>
      </c>
      <c r="H76" s="10" t="str">
        <f t="shared" si="11"/>
        <v>Tiềm năng</v>
      </c>
      <c r="I76" s="47">
        <f t="shared" si="12"/>
        <v>565000.000076</v>
      </c>
    </row>
    <row r="77" spans="1:9" x14ac:dyDescent="0.35">
      <c r="A77" s="10" t="s">
        <v>185</v>
      </c>
      <c r="B77" s="8" t="s">
        <v>186</v>
      </c>
      <c r="C77" s="8" t="s">
        <v>40</v>
      </c>
      <c r="D77" s="8" t="s">
        <v>41</v>
      </c>
      <c r="E77" s="26">
        <f>COUNTIFS('Dữ liệu sạch'!$E$2:$E$201,$A77,'Dữ liệu sạch'!$R$2:$R$201,"Hoàn thành")</f>
        <v>3</v>
      </c>
      <c r="F77" s="14">
        <f>SUMIFS('Dữ liệu sạch'!$W$2:$W$201,'Dữ liệu sạch'!$E$2:$E$201,$A77)</f>
        <v>5187000</v>
      </c>
      <c r="G77" s="14">
        <f>SUMIFS('Dữ liệu sạch'!$X$2:$X$201,'Dữ liệu sạch'!$E$2:$E$201,$A77)</f>
        <v>1187000</v>
      </c>
      <c r="H77" s="10" t="str">
        <f t="shared" si="11"/>
        <v>Thân thiết</v>
      </c>
      <c r="I77" s="47">
        <f t="shared" si="12"/>
        <v>5187000.0000769999</v>
      </c>
    </row>
    <row r="78" spans="1:9" x14ac:dyDescent="0.35">
      <c r="A78" s="10" t="s">
        <v>152</v>
      </c>
      <c r="B78" s="8" t="s">
        <v>153</v>
      </c>
      <c r="C78" s="8" t="s">
        <v>40</v>
      </c>
      <c r="D78" s="8" t="s">
        <v>41</v>
      </c>
      <c r="E78" s="26">
        <f>COUNTIFS('Dữ liệu sạch'!$E$2:$E$201,$A78,'Dữ liệu sạch'!$R$2:$R$201,"Hoàn thành")</f>
        <v>3</v>
      </c>
      <c r="F78" s="14">
        <f>SUMIFS('Dữ liệu sạch'!$W$2:$W$201,'Dữ liệu sạch'!$E$2:$E$201,$A78)</f>
        <v>4235800</v>
      </c>
      <c r="G78" s="14">
        <f>SUMIFS('Dữ liệu sạch'!$X$2:$X$201,'Dữ liệu sạch'!$E$2:$E$201,$A78)</f>
        <v>1715800</v>
      </c>
      <c r="H78" s="10" t="str">
        <f t="shared" si="11"/>
        <v>Tiềm năng</v>
      </c>
      <c r="I78" s="47">
        <f t="shared" si="12"/>
        <v>4235800.0000780001</v>
      </c>
    </row>
    <row r="79" spans="1:9" x14ac:dyDescent="0.35">
      <c r="A79" s="10" t="s">
        <v>222</v>
      </c>
      <c r="B79" s="8" t="s">
        <v>223</v>
      </c>
      <c r="C79" s="8" t="s">
        <v>40</v>
      </c>
      <c r="D79" s="8" t="s">
        <v>14</v>
      </c>
      <c r="E79" s="26">
        <f>COUNTIFS('Dữ liệu sạch'!$E$2:$E$201,$A79,'Dữ liệu sạch'!$R$2:$R$201,"Hoàn thành")</f>
        <v>5</v>
      </c>
      <c r="F79" s="14">
        <f>SUMIFS('Dữ liệu sạch'!$W$2:$W$201,'Dữ liệu sạch'!$E$2:$E$201,$A79)</f>
        <v>8404000</v>
      </c>
      <c r="G79" s="14">
        <f>SUMIFS('Dữ liệu sạch'!$X$2:$X$201,'Dữ liệu sạch'!$E$2:$E$201,$A79)</f>
        <v>2714000</v>
      </c>
      <c r="H79" s="10" t="str">
        <f t="shared" si="11"/>
        <v>Thân thiết</v>
      </c>
      <c r="I79" s="47">
        <f t="shared" si="12"/>
        <v>8404000.0000790004</v>
      </c>
    </row>
    <row r="80" spans="1:9" x14ac:dyDescent="0.35">
      <c r="A80" s="10" t="s">
        <v>216</v>
      </c>
      <c r="B80" s="8" t="s">
        <v>217</v>
      </c>
      <c r="C80" s="8" t="s">
        <v>40</v>
      </c>
      <c r="D80" s="8" t="s">
        <v>14</v>
      </c>
      <c r="E80" s="26">
        <f>COUNTIFS('Dữ liệu sạch'!$E$2:$E$201,$A80,'Dữ liệu sạch'!$R$2:$R$201,"Hoàn thành")</f>
        <v>1</v>
      </c>
      <c r="F80" s="14">
        <f>SUMIFS('Dữ liệu sạch'!$W$2:$W$201,'Dữ liệu sạch'!$E$2:$E$201,$A80)</f>
        <v>266000</v>
      </c>
      <c r="G80" s="14">
        <f>SUMIFS('Dữ liệu sạch'!$X$2:$X$201,'Dữ liệu sạch'!$E$2:$E$201,$A80)</f>
        <v>136000</v>
      </c>
      <c r="H80" s="10" t="str">
        <f t="shared" si="11"/>
        <v>Tiềm năng</v>
      </c>
      <c r="I80" s="47">
        <f t="shared" si="12"/>
        <v>266000.00008000003</v>
      </c>
    </row>
    <row r="81" spans="1:9" x14ac:dyDescent="0.35">
      <c r="A81" s="10" t="s">
        <v>161</v>
      </c>
      <c r="B81" s="8" t="s">
        <v>162</v>
      </c>
      <c r="C81" s="8" t="s">
        <v>12</v>
      </c>
      <c r="D81" s="8" t="s">
        <v>14</v>
      </c>
      <c r="E81" s="26">
        <f>COUNTIFS('Dữ liệu sạch'!$E$2:$E$201,$A81,'Dữ liệu sạch'!$R$2:$R$201,"Hoàn thành")</f>
        <v>1</v>
      </c>
      <c r="F81" s="14">
        <f>SUMIFS('Dữ liệu sạch'!$W$2:$W$201,'Dữ liệu sạch'!$E$2:$E$201,$A81)</f>
        <v>1920000</v>
      </c>
      <c r="G81" s="14">
        <f>SUMIFS('Dữ liệu sạch'!$X$2:$X$201,'Dữ liệu sạch'!$E$2:$E$201,$A81)</f>
        <v>1020000</v>
      </c>
      <c r="H81" s="10" t="str">
        <f t="shared" si="11"/>
        <v>Tiềm năng</v>
      </c>
      <c r="I81" s="47">
        <f t="shared" si="12"/>
        <v>1920000.0000809999</v>
      </c>
    </row>
    <row r="82" spans="1:9" x14ac:dyDescent="0.35">
      <c r="A82" s="10" t="s">
        <v>175</v>
      </c>
      <c r="B82" s="8" t="s">
        <v>176</v>
      </c>
      <c r="C82" s="8" t="s">
        <v>12</v>
      </c>
      <c r="D82" s="8" t="s">
        <v>41</v>
      </c>
      <c r="E82" s="26">
        <f>COUNTIFS('Dữ liệu sạch'!$E$2:$E$201,$A82,'Dữ liệu sạch'!$R$2:$R$201,"Hoàn thành")</f>
        <v>5</v>
      </c>
      <c r="F82" s="14">
        <f>SUMIFS('Dữ liệu sạch'!$W$2:$W$201,'Dữ liệu sạch'!$E$2:$E$201,$A82)</f>
        <v>23586000</v>
      </c>
      <c r="G82" s="14">
        <f>SUMIFS('Dữ liệu sạch'!$X$2:$X$201,'Dữ liệu sạch'!$E$2:$E$201,$A82)</f>
        <v>7786000</v>
      </c>
      <c r="H82" s="10" t="str">
        <f t="shared" si="11"/>
        <v>VIP</v>
      </c>
      <c r="I82" s="47">
        <f t="shared" si="12"/>
        <v>23586000.000082001</v>
      </c>
    </row>
    <row r="83" spans="1:9" x14ac:dyDescent="0.35">
      <c r="A83" s="10" t="s">
        <v>188</v>
      </c>
      <c r="B83" s="8" t="s">
        <v>189</v>
      </c>
      <c r="C83" s="8" t="s">
        <v>40</v>
      </c>
      <c r="D83" s="8" t="s">
        <v>14</v>
      </c>
      <c r="E83" s="26">
        <f>COUNTIFS('Dữ liệu sạch'!$E$2:$E$201,$A83,'Dữ liệu sạch'!$R$2:$R$201,"Hoàn thành")</f>
        <v>5</v>
      </c>
      <c r="F83" s="14">
        <f>SUMIFS('Dữ liệu sạch'!$W$2:$W$201,'Dữ liệu sạch'!$E$2:$E$201,$A83)</f>
        <v>9126500</v>
      </c>
      <c r="G83" s="14">
        <f>SUMIFS('Dữ liệu sạch'!$X$2:$X$201,'Dữ liệu sạch'!$E$2:$E$201,$A83)</f>
        <v>3196500</v>
      </c>
      <c r="H83" s="10" t="str">
        <f t="shared" si="11"/>
        <v>Thân thiết</v>
      </c>
      <c r="I83" s="47">
        <f t="shared" si="12"/>
        <v>9126500.0000829995</v>
      </c>
    </row>
    <row r="84" spans="1:9" x14ac:dyDescent="0.35">
      <c r="A84" s="10" t="s">
        <v>100</v>
      </c>
      <c r="B84" s="8" t="s">
        <v>101</v>
      </c>
      <c r="C84" s="8" t="s">
        <v>40</v>
      </c>
      <c r="D84" s="8" t="s">
        <v>14</v>
      </c>
      <c r="E84" s="26">
        <f>COUNTIFS('Dữ liệu sạch'!$E$2:$E$201,$A84,'Dữ liệu sạch'!$R$2:$R$201,"Hoàn thành")</f>
        <v>4</v>
      </c>
      <c r="F84" s="14">
        <f>SUMIFS('Dữ liệu sạch'!$W$2:$W$201,'Dữ liệu sạch'!$E$2:$E$201,$A84)</f>
        <v>4660300</v>
      </c>
      <c r="G84" s="14">
        <f>SUMIFS('Dữ liệu sạch'!$X$2:$X$201,'Dữ liệu sạch'!$E$2:$E$201,$A84)</f>
        <v>1770300</v>
      </c>
      <c r="H84" s="10" t="str">
        <f t="shared" si="11"/>
        <v>Tiềm năng</v>
      </c>
      <c r="I84" s="47">
        <f t="shared" si="12"/>
        <v>4660300.0000839997</v>
      </c>
    </row>
    <row r="85" spans="1:9" x14ac:dyDescent="0.35">
      <c r="A85" s="10" t="s">
        <v>167</v>
      </c>
      <c r="B85" s="8" t="s">
        <v>168</v>
      </c>
      <c r="C85" s="8" t="s">
        <v>40</v>
      </c>
      <c r="D85" s="8" t="s">
        <v>63</v>
      </c>
      <c r="E85" s="26">
        <f>COUNTIFS('Dữ liệu sạch'!$E$2:$E$201,$A85,'Dữ liệu sạch'!$R$2:$R$201,"Hoàn thành")</f>
        <v>2</v>
      </c>
      <c r="F85" s="14">
        <f>SUMIFS('Dữ liệu sạch'!$W$2:$W$201,'Dữ liệu sạch'!$E$2:$E$201,$A85)</f>
        <v>2854000</v>
      </c>
      <c r="G85" s="14">
        <f>SUMIFS('Dữ liệu sạch'!$X$2:$X$201,'Dữ liệu sạch'!$E$2:$E$201,$A85)</f>
        <v>1144000</v>
      </c>
      <c r="H85" s="10" t="str">
        <f t="shared" si="11"/>
        <v>Tiềm năng</v>
      </c>
      <c r="I85" s="47">
        <f t="shared" si="12"/>
        <v>2854000.0000849999</v>
      </c>
    </row>
    <row r="86" spans="1:9" x14ac:dyDescent="0.35">
      <c r="A86" s="10" t="s">
        <v>193</v>
      </c>
      <c r="B86" s="8" t="s">
        <v>194</v>
      </c>
      <c r="C86" s="8" t="s">
        <v>12</v>
      </c>
      <c r="D86" s="8" t="s">
        <v>14</v>
      </c>
      <c r="E86" s="26">
        <f>COUNTIFS('Dữ liệu sạch'!$E$2:$E$201,$A86,'Dữ liệu sạch'!$R$2:$R$201,"Hoàn thành")</f>
        <v>4</v>
      </c>
      <c r="F86" s="14">
        <f>SUMIFS('Dữ liệu sạch'!$W$2:$W$201,'Dữ liệu sạch'!$E$2:$E$201,$A86)</f>
        <v>16086000</v>
      </c>
      <c r="G86" s="14">
        <f>SUMIFS('Dữ liệu sạch'!$X$2:$X$201,'Dữ liệu sạch'!$E$2:$E$201,$A86)</f>
        <v>5226000</v>
      </c>
      <c r="H86" s="10" t="str">
        <f t="shared" ref="H86:H113" si="13">IF(F86=0,"Không phát sinh",IF(F86&gt;=$B$25,"VIP",IF(F86&gt;=$B$26,"Thân thiết","Tiềm năng")))</f>
        <v>VIP</v>
      </c>
      <c r="I86" s="47">
        <f t="shared" ref="I86:I113" si="14">F86+ROW()/1000000</f>
        <v>16086000.000086</v>
      </c>
    </row>
    <row r="87" spans="1:9" x14ac:dyDescent="0.35">
      <c r="A87" s="10" t="s">
        <v>122</v>
      </c>
      <c r="B87" s="8" t="s">
        <v>123</v>
      </c>
      <c r="C87" s="8" t="s">
        <v>40</v>
      </c>
      <c r="D87" s="8" t="s">
        <v>14</v>
      </c>
      <c r="E87" s="26">
        <f>COUNTIFS('Dữ liệu sạch'!$E$2:$E$201,$A87,'Dữ liệu sạch'!$R$2:$R$201,"Hoàn thành")</f>
        <v>2</v>
      </c>
      <c r="F87" s="14">
        <f>SUMIFS('Dữ liệu sạch'!$W$2:$W$201,'Dữ liệu sạch'!$E$2:$E$201,$A87)</f>
        <v>5078700</v>
      </c>
      <c r="G87" s="14">
        <f>SUMIFS('Dữ liệu sạch'!$X$2:$X$201,'Dữ liệu sạch'!$E$2:$E$201,$A87)</f>
        <v>2288700</v>
      </c>
      <c r="H87" s="10" t="str">
        <f t="shared" si="13"/>
        <v>Thân thiết</v>
      </c>
      <c r="I87" s="47">
        <f t="shared" si="14"/>
        <v>5078700.0000870004</v>
      </c>
    </row>
    <row r="88" spans="1:9" x14ac:dyDescent="0.35">
      <c r="A88" s="10" t="s">
        <v>271</v>
      </c>
      <c r="B88" s="8" t="s">
        <v>272</v>
      </c>
      <c r="C88" s="8" t="s">
        <v>40</v>
      </c>
      <c r="D88" s="8" t="s">
        <v>14</v>
      </c>
      <c r="E88" s="26">
        <f>COUNTIFS('Dữ liệu sạch'!$E$2:$E$201,$A88,'Dữ liệu sạch'!$R$2:$R$201,"Hoàn thành")</f>
        <v>3</v>
      </c>
      <c r="F88" s="14">
        <f>SUMIFS('Dữ liệu sạch'!$W$2:$W$201,'Dữ liệu sạch'!$E$2:$E$201,$A88)</f>
        <v>1296950</v>
      </c>
      <c r="G88" s="14">
        <f>SUMIFS('Dữ liệu sạch'!$X$2:$X$201,'Dữ liệu sạch'!$E$2:$E$201,$A88)</f>
        <v>406950</v>
      </c>
      <c r="H88" s="10" t="str">
        <f t="shared" si="13"/>
        <v>Tiềm năng</v>
      </c>
      <c r="I88" s="47">
        <f t="shared" si="14"/>
        <v>1296950.000088</v>
      </c>
    </row>
    <row r="89" spans="1:9" x14ac:dyDescent="0.35">
      <c r="A89" s="10" t="s">
        <v>149</v>
      </c>
      <c r="B89" s="8" t="s">
        <v>150</v>
      </c>
      <c r="C89" s="8" t="s">
        <v>40</v>
      </c>
      <c r="D89" s="8" t="s">
        <v>41</v>
      </c>
      <c r="E89" s="26">
        <f>COUNTIFS('Dữ liệu sạch'!$E$2:$E$201,$A89,'Dữ liệu sạch'!$R$2:$R$201,"Hoàn thành")</f>
        <v>5</v>
      </c>
      <c r="F89" s="14">
        <f>SUMIFS('Dữ liệu sạch'!$W$2:$W$201,'Dữ liệu sạch'!$E$2:$E$201,$A89)</f>
        <v>5129000</v>
      </c>
      <c r="G89" s="14">
        <f>SUMIFS('Dữ liệu sạch'!$X$2:$X$201,'Dữ liệu sạch'!$E$2:$E$201,$A89)</f>
        <v>2169000</v>
      </c>
      <c r="H89" s="10" t="str">
        <f t="shared" si="13"/>
        <v>Thân thiết</v>
      </c>
      <c r="I89" s="47">
        <f t="shared" si="14"/>
        <v>5129000.000089</v>
      </c>
    </row>
    <row r="90" spans="1:9" x14ac:dyDescent="0.35">
      <c r="A90" s="10" t="s">
        <v>196</v>
      </c>
      <c r="B90" s="8" t="s">
        <v>197</v>
      </c>
      <c r="C90" s="8" t="s">
        <v>40</v>
      </c>
      <c r="D90" s="8" t="s">
        <v>41</v>
      </c>
      <c r="E90" s="26">
        <f>COUNTIFS('Dữ liệu sạch'!$E$2:$E$201,$A90,'Dữ liệu sạch'!$R$2:$R$201,"Hoàn thành")</f>
        <v>7</v>
      </c>
      <c r="F90" s="14">
        <f>SUMIFS('Dữ liệu sạch'!$W$2:$W$201,'Dữ liệu sạch'!$E$2:$E$201,$A90)</f>
        <v>7482400</v>
      </c>
      <c r="G90" s="14">
        <f>SUMIFS('Dữ liệu sạch'!$X$2:$X$201,'Dữ liệu sạch'!$E$2:$E$201,$A90)</f>
        <v>2612400</v>
      </c>
      <c r="H90" s="10" t="str">
        <f t="shared" si="13"/>
        <v>Thân thiết</v>
      </c>
      <c r="I90" s="47">
        <f t="shared" si="14"/>
        <v>7482400.0000900002</v>
      </c>
    </row>
    <row r="91" spans="1:9" x14ac:dyDescent="0.35">
      <c r="A91" s="10" t="s">
        <v>281</v>
      </c>
      <c r="B91" s="8" t="s">
        <v>282</v>
      </c>
      <c r="C91" s="8" t="s">
        <v>12</v>
      </c>
      <c r="D91" s="8" t="s">
        <v>63</v>
      </c>
      <c r="E91" s="26">
        <f>COUNTIFS('Dữ liệu sạch'!$E$2:$E$201,$A91,'Dữ liệu sạch'!$R$2:$R$201,"Hoàn thành")</f>
        <v>2</v>
      </c>
      <c r="F91" s="14">
        <f>SUMIFS('Dữ liệu sạch'!$W$2:$W$201,'Dữ liệu sạch'!$E$2:$E$201,$A91)</f>
        <v>10189000</v>
      </c>
      <c r="G91" s="14">
        <f>SUMIFS('Dữ liệu sạch'!$X$2:$X$201,'Dữ liệu sạch'!$E$2:$E$201,$A91)</f>
        <v>4239000</v>
      </c>
      <c r="H91" s="10" t="str">
        <f t="shared" si="13"/>
        <v>VIP</v>
      </c>
      <c r="I91" s="47">
        <f t="shared" si="14"/>
        <v>10189000.000091</v>
      </c>
    </row>
    <row r="92" spans="1:9" x14ac:dyDescent="0.35">
      <c r="A92" s="10" t="s">
        <v>146</v>
      </c>
      <c r="B92" s="8" t="s">
        <v>147</v>
      </c>
      <c r="C92" s="8" t="s">
        <v>40</v>
      </c>
      <c r="D92" s="8" t="s">
        <v>41</v>
      </c>
      <c r="E92" s="26">
        <f>COUNTIFS('Dữ liệu sạch'!$E$2:$E$201,$A92,'Dữ liệu sạch'!$R$2:$R$201,"Hoàn thành")</f>
        <v>3</v>
      </c>
      <c r="F92" s="14">
        <f>SUMIFS('Dữ liệu sạch'!$W$2:$W$201,'Dữ liệu sạch'!$E$2:$E$201,$A92)</f>
        <v>2670000</v>
      </c>
      <c r="G92" s="14">
        <f>SUMIFS('Dữ liệu sạch'!$X$2:$X$201,'Dữ liệu sạch'!$E$2:$E$201,$A92)</f>
        <v>990000</v>
      </c>
      <c r="H92" s="10" t="str">
        <f t="shared" si="13"/>
        <v>Tiềm năng</v>
      </c>
      <c r="I92" s="47">
        <f t="shared" si="14"/>
        <v>2670000.0000919998</v>
      </c>
    </row>
    <row r="93" spans="1:9" x14ac:dyDescent="0.35">
      <c r="A93" s="10" t="s">
        <v>38</v>
      </c>
      <c r="B93" s="8" t="s">
        <v>39</v>
      </c>
      <c r="C93" s="8" t="s">
        <v>40</v>
      </c>
      <c r="D93" s="8" t="s">
        <v>41</v>
      </c>
      <c r="E93" s="26">
        <f>COUNTIFS('Dữ liệu sạch'!$E$2:$E$201,$A93,'Dữ liệu sạch'!$R$2:$R$201,"Hoàn thành")</f>
        <v>3</v>
      </c>
      <c r="F93" s="14">
        <f>SUMIFS('Dữ liệu sạch'!$W$2:$W$201,'Dữ liệu sạch'!$E$2:$E$201,$A93)</f>
        <v>2254600</v>
      </c>
      <c r="G93" s="14">
        <f>SUMIFS('Dữ liệu sạch'!$X$2:$X$201,'Dữ liệu sạch'!$E$2:$E$201,$A93)</f>
        <v>1114600</v>
      </c>
      <c r="H93" s="10" t="str">
        <f t="shared" si="13"/>
        <v>Tiềm năng</v>
      </c>
      <c r="I93" s="47">
        <f t="shared" si="14"/>
        <v>2254600.000093</v>
      </c>
    </row>
    <row r="94" spans="1:9" x14ac:dyDescent="0.35">
      <c r="A94" s="10" t="s">
        <v>203</v>
      </c>
      <c r="B94" s="8" t="s">
        <v>204</v>
      </c>
      <c r="C94" s="8" t="s">
        <v>40</v>
      </c>
      <c r="D94" s="8" t="s">
        <v>41</v>
      </c>
      <c r="E94" s="26">
        <f>COUNTIFS('Dữ liệu sạch'!$E$2:$E$201,$A94,'Dữ liệu sạch'!$R$2:$R$201,"Hoàn thành")</f>
        <v>3</v>
      </c>
      <c r="F94" s="14">
        <f>SUMIFS('Dữ liệu sạch'!$W$2:$W$201,'Dữ liệu sạch'!$E$2:$E$201,$A94)</f>
        <v>7753500</v>
      </c>
      <c r="G94" s="14">
        <f>SUMIFS('Dữ liệu sạch'!$X$2:$X$201,'Dữ liệu sạch'!$E$2:$E$201,$A94)</f>
        <v>3633500</v>
      </c>
      <c r="H94" s="10" t="str">
        <f t="shared" si="13"/>
        <v>Thân thiết</v>
      </c>
      <c r="I94" s="47">
        <f t="shared" si="14"/>
        <v>7753500.0000940003</v>
      </c>
    </row>
    <row r="95" spans="1:9" x14ac:dyDescent="0.35">
      <c r="A95" s="10" t="s">
        <v>341</v>
      </c>
      <c r="B95" s="8" t="s">
        <v>342</v>
      </c>
      <c r="C95" s="8" t="s">
        <v>40</v>
      </c>
      <c r="D95" s="8" t="s">
        <v>14</v>
      </c>
      <c r="E95" s="26">
        <f>COUNTIFS('Dữ liệu sạch'!$E$2:$E$201,$A95,'Dữ liệu sạch'!$R$2:$R$201,"Hoàn thành")</f>
        <v>2</v>
      </c>
      <c r="F95" s="14">
        <f>SUMIFS('Dữ liệu sạch'!$W$2:$W$201,'Dữ liệu sạch'!$E$2:$E$201,$A95)</f>
        <v>3532000</v>
      </c>
      <c r="G95" s="14">
        <f>SUMIFS('Dữ liệu sạch'!$X$2:$X$201,'Dữ liệu sạch'!$E$2:$E$201,$A95)</f>
        <v>1672000</v>
      </c>
      <c r="H95" s="10" t="str">
        <f t="shared" si="13"/>
        <v>Tiềm năng</v>
      </c>
      <c r="I95" s="47">
        <f t="shared" si="14"/>
        <v>3532000.000095</v>
      </c>
    </row>
    <row r="96" spans="1:9" x14ac:dyDescent="0.35">
      <c r="A96" s="10" t="s">
        <v>61</v>
      </c>
      <c r="B96" s="8" t="s">
        <v>62</v>
      </c>
      <c r="C96" s="8" t="s">
        <v>40</v>
      </c>
      <c r="D96" s="8" t="s">
        <v>63</v>
      </c>
      <c r="E96" s="26">
        <f>COUNTIFS('Dữ liệu sạch'!$E$2:$E$201,$A96,'Dữ liệu sạch'!$R$2:$R$201,"Hoàn thành")</f>
        <v>4</v>
      </c>
      <c r="F96" s="14">
        <f>SUMIFS('Dữ liệu sạch'!$W$2:$W$201,'Dữ liệu sạch'!$E$2:$E$201,$A96)</f>
        <v>5336000</v>
      </c>
      <c r="G96" s="14">
        <f>SUMIFS('Dữ liệu sạch'!$X$2:$X$201,'Dữ liệu sạch'!$E$2:$E$201,$A96)</f>
        <v>1796000</v>
      </c>
      <c r="H96" s="10" t="str">
        <f t="shared" si="13"/>
        <v>Thân thiết</v>
      </c>
      <c r="I96" s="47">
        <f t="shared" si="14"/>
        <v>5336000.0000959998</v>
      </c>
    </row>
    <row r="97" spans="1:9" x14ac:dyDescent="0.35">
      <c r="A97" s="10" t="s">
        <v>171</v>
      </c>
      <c r="B97" s="8" t="s">
        <v>172</v>
      </c>
      <c r="C97" s="8" t="s">
        <v>12</v>
      </c>
      <c r="D97" s="8" t="s">
        <v>41</v>
      </c>
      <c r="E97" s="26">
        <f>COUNTIFS('Dữ liệu sạch'!$E$2:$E$201,$A97,'Dữ liệu sạch'!$R$2:$R$201,"Hoàn thành")</f>
        <v>4</v>
      </c>
      <c r="F97" s="14">
        <f>SUMIFS('Dữ liệu sạch'!$W$2:$W$201,'Dữ liệu sạch'!$E$2:$E$201,$A97)</f>
        <v>13447600</v>
      </c>
      <c r="G97" s="14">
        <f>SUMIFS('Dữ liệu sạch'!$X$2:$X$201,'Dữ liệu sạch'!$E$2:$E$201,$A97)</f>
        <v>4057600</v>
      </c>
      <c r="H97" s="10" t="str">
        <f t="shared" si="13"/>
        <v>VIP</v>
      </c>
      <c r="I97" s="47">
        <f t="shared" si="14"/>
        <v>13447600.000096999</v>
      </c>
    </row>
    <row r="98" spans="1:9" x14ac:dyDescent="0.35">
      <c r="A98" s="10" t="s">
        <v>285</v>
      </c>
      <c r="B98" s="8" t="s">
        <v>286</v>
      </c>
      <c r="C98" s="8" t="s">
        <v>12</v>
      </c>
      <c r="D98" s="8" t="s">
        <v>14</v>
      </c>
      <c r="E98" s="26">
        <f>COUNTIFS('Dữ liệu sạch'!$E$2:$E$201,$A98,'Dữ liệu sạch'!$R$2:$R$201,"Hoàn thành")</f>
        <v>2</v>
      </c>
      <c r="F98" s="14">
        <f>SUMIFS('Dữ liệu sạch'!$W$2:$W$201,'Dữ liệu sạch'!$E$2:$E$201,$A98)</f>
        <v>11007000</v>
      </c>
      <c r="G98" s="14">
        <f>SUMIFS('Dữ liệu sạch'!$X$2:$X$201,'Dữ liệu sạch'!$E$2:$E$201,$A98)</f>
        <v>4347000</v>
      </c>
      <c r="H98" s="10" t="str">
        <f t="shared" si="13"/>
        <v>VIP</v>
      </c>
      <c r="I98" s="47">
        <f t="shared" si="14"/>
        <v>11007000.000097999</v>
      </c>
    </row>
    <row r="99" spans="1:9" x14ac:dyDescent="0.35">
      <c r="A99" s="10" t="s">
        <v>52</v>
      </c>
      <c r="B99" s="8" t="s">
        <v>53</v>
      </c>
      <c r="C99" s="8" t="s">
        <v>40</v>
      </c>
      <c r="D99" s="8" t="s">
        <v>41</v>
      </c>
      <c r="E99" s="26">
        <f>COUNTIFS('Dữ liệu sạch'!$E$2:$E$201,$A99,'Dữ liệu sạch'!$R$2:$R$201,"Hoàn thành")</f>
        <v>1</v>
      </c>
      <c r="F99" s="14">
        <f>SUMIFS('Dữ liệu sạch'!$W$2:$W$201,'Dữ liệu sạch'!$E$2:$E$201,$A99)</f>
        <v>2137500</v>
      </c>
      <c r="G99" s="14">
        <f>SUMIFS('Dữ liệu sạch'!$X$2:$X$201,'Dữ liệu sạch'!$E$2:$E$201,$A99)</f>
        <v>967500</v>
      </c>
      <c r="H99" s="10" t="str">
        <f t="shared" si="13"/>
        <v>Tiềm năng</v>
      </c>
      <c r="I99" s="47">
        <f t="shared" si="14"/>
        <v>2137500.0000990001</v>
      </c>
    </row>
    <row r="100" spans="1:9" x14ac:dyDescent="0.35">
      <c r="A100" s="10" t="s">
        <v>312</v>
      </c>
      <c r="B100" s="8" t="s">
        <v>313</v>
      </c>
      <c r="C100" s="8" t="s">
        <v>12</v>
      </c>
      <c r="D100" s="8" t="s">
        <v>14</v>
      </c>
      <c r="E100" s="26">
        <f>COUNTIFS('Dữ liệu sạch'!$E$2:$E$201,$A100,'Dữ liệu sạch'!$R$2:$R$201,"Hoàn thành")</f>
        <v>2</v>
      </c>
      <c r="F100" s="14">
        <f>SUMIFS('Dữ liệu sạch'!$W$2:$W$201,'Dữ liệu sạch'!$E$2:$E$201,$A100)</f>
        <v>13784000</v>
      </c>
      <c r="G100" s="14">
        <f>SUMIFS('Dữ liệu sạch'!$X$2:$X$201,'Dữ liệu sạch'!$E$2:$E$201,$A100)</f>
        <v>6544000</v>
      </c>
      <c r="H100" s="10" t="str">
        <f t="shared" si="13"/>
        <v>VIP</v>
      </c>
      <c r="I100" s="47">
        <f t="shared" si="14"/>
        <v>13784000.0001</v>
      </c>
    </row>
    <row r="101" spans="1:9" x14ac:dyDescent="0.35">
      <c r="A101" s="10" t="s">
        <v>84</v>
      </c>
      <c r="B101" s="8" t="s">
        <v>85</v>
      </c>
      <c r="C101" s="8" t="s">
        <v>40</v>
      </c>
      <c r="D101" s="8" t="s">
        <v>41</v>
      </c>
      <c r="E101" s="26">
        <f>COUNTIFS('Dữ liệu sạch'!$E$2:$E$201,$A101,'Dữ liệu sạch'!$R$2:$R$201,"Hoàn thành")</f>
        <v>2</v>
      </c>
      <c r="F101" s="14">
        <f>SUMIFS('Dữ liệu sạch'!$W$2:$W$201,'Dữ liệu sạch'!$E$2:$E$201,$A101)</f>
        <v>905000</v>
      </c>
      <c r="G101" s="14">
        <f>SUMIFS('Dữ liệu sạch'!$X$2:$X$201,'Dữ liệu sạch'!$E$2:$E$201,$A101)</f>
        <v>355000</v>
      </c>
      <c r="H101" s="10" t="str">
        <f t="shared" si="13"/>
        <v>Tiềm năng</v>
      </c>
      <c r="I101" s="47">
        <f t="shared" si="14"/>
        <v>905000.00010099995</v>
      </c>
    </row>
    <row r="102" spans="1:9" x14ac:dyDescent="0.35">
      <c r="A102" s="10" t="s">
        <v>157</v>
      </c>
      <c r="B102" s="8" t="s">
        <v>158</v>
      </c>
      <c r="C102" s="8" t="s">
        <v>40</v>
      </c>
      <c r="D102" s="8" t="s">
        <v>41</v>
      </c>
      <c r="E102" s="26">
        <f>COUNTIFS('Dữ liệu sạch'!$E$2:$E$201,$A102,'Dữ liệu sạch'!$R$2:$R$201,"Hoàn thành")</f>
        <v>3</v>
      </c>
      <c r="F102" s="14">
        <f>SUMIFS('Dữ liệu sạch'!$W$2:$W$201,'Dữ liệu sạch'!$E$2:$E$201,$A102)</f>
        <v>2429800</v>
      </c>
      <c r="G102" s="14">
        <f>SUMIFS('Dữ liệu sạch'!$X$2:$X$201,'Dữ liệu sạch'!$E$2:$E$201,$A102)</f>
        <v>959800</v>
      </c>
      <c r="H102" s="10" t="str">
        <f t="shared" si="13"/>
        <v>Tiềm năng</v>
      </c>
      <c r="I102" s="47">
        <f t="shared" si="14"/>
        <v>2429800.0001019998</v>
      </c>
    </row>
    <row r="103" spans="1:9" x14ac:dyDescent="0.35">
      <c r="A103" s="10" t="s">
        <v>622</v>
      </c>
      <c r="B103" s="8" t="s">
        <v>623</v>
      </c>
      <c r="C103" s="8" t="s">
        <v>12</v>
      </c>
      <c r="D103" s="8" t="s">
        <v>41</v>
      </c>
      <c r="E103" s="26">
        <f>COUNTIFS('Dữ liệu sạch'!$E$2:$E$201,$A103,'Dữ liệu sạch'!$R$2:$R$201,"Hoàn thành")</f>
        <v>0</v>
      </c>
      <c r="F103" s="14">
        <f>SUMIFS('Dữ liệu sạch'!$W$2:$W$201,'Dữ liệu sạch'!$E$2:$E$201,$A103)</f>
        <v>0</v>
      </c>
      <c r="G103" s="14">
        <f>SUMIFS('Dữ liệu sạch'!$X$2:$X$201,'Dữ liệu sạch'!$E$2:$E$201,$A103)</f>
        <v>0</v>
      </c>
      <c r="H103" s="10" t="str">
        <f t="shared" si="13"/>
        <v>Không phát sinh</v>
      </c>
      <c r="I103" s="47">
        <f t="shared" si="14"/>
        <v>1.03E-4</v>
      </c>
    </row>
    <row r="104" spans="1:9" x14ac:dyDescent="0.35">
      <c r="A104" s="10" t="s">
        <v>78</v>
      </c>
      <c r="B104" s="8" t="s">
        <v>79</v>
      </c>
      <c r="C104" s="8" t="s">
        <v>40</v>
      </c>
      <c r="D104" s="8" t="s">
        <v>41</v>
      </c>
      <c r="E104" s="26">
        <f>COUNTIFS('Dữ liệu sạch'!$E$2:$E$201,$A104,'Dữ liệu sạch'!$R$2:$R$201,"Hoàn thành")</f>
        <v>5</v>
      </c>
      <c r="F104" s="14">
        <f>SUMIFS('Dữ liệu sạch'!$W$2:$W$201,'Dữ liệu sạch'!$E$2:$E$201,$A104)</f>
        <v>4068800</v>
      </c>
      <c r="G104" s="14">
        <f>SUMIFS('Dữ liệu sạch'!$X$2:$X$201,'Dữ liệu sạch'!$E$2:$E$201,$A104)</f>
        <v>1708800</v>
      </c>
      <c r="H104" s="10" t="str">
        <f t="shared" si="13"/>
        <v>Tiềm năng</v>
      </c>
      <c r="I104" s="47">
        <f t="shared" si="14"/>
        <v>4068800.0001039999</v>
      </c>
    </row>
    <row r="105" spans="1:9" x14ac:dyDescent="0.35">
      <c r="A105" s="10" t="s">
        <v>138</v>
      </c>
      <c r="B105" s="8" t="s">
        <v>139</v>
      </c>
      <c r="C105" s="8" t="s">
        <v>40</v>
      </c>
      <c r="D105" s="8" t="s">
        <v>14</v>
      </c>
      <c r="E105" s="26">
        <f>COUNTIFS('Dữ liệu sạch'!$E$2:$E$201,$A105,'Dữ liệu sạch'!$R$2:$R$201,"Hoàn thành")</f>
        <v>2</v>
      </c>
      <c r="F105" s="14">
        <f>SUMIFS('Dữ liệu sạch'!$W$2:$W$201,'Dữ liệu sạch'!$E$2:$E$201,$A105)</f>
        <v>15200000</v>
      </c>
      <c r="G105" s="14">
        <f>SUMIFS('Dữ liệu sạch'!$X$2:$X$201,'Dữ liệu sạch'!$E$2:$E$201,$A105)</f>
        <v>5000000</v>
      </c>
      <c r="H105" s="10" t="str">
        <f t="shared" si="13"/>
        <v>VIP</v>
      </c>
      <c r="I105" s="47">
        <f t="shared" si="14"/>
        <v>15200000.000104999</v>
      </c>
    </row>
    <row r="106" spans="1:9" x14ac:dyDescent="0.35">
      <c r="A106" s="10" t="s">
        <v>317</v>
      </c>
      <c r="B106" s="8" t="s">
        <v>318</v>
      </c>
      <c r="C106" s="8" t="s">
        <v>40</v>
      </c>
      <c r="D106" s="8" t="s">
        <v>41</v>
      </c>
      <c r="E106" s="26">
        <f>COUNTIFS('Dữ liệu sạch'!$E$2:$E$201,$A106,'Dữ liệu sạch'!$R$2:$R$201,"Hoàn thành")</f>
        <v>2</v>
      </c>
      <c r="F106" s="14">
        <f>SUMIFS('Dữ liệu sạch'!$W$2:$W$201,'Dữ liệu sạch'!$E$2:$E$201,$A106)</f>
        <v>3813200</v>
      </c>
      <c r="G106" s="14">
        <f>SUMIFS('Dữ liệu sạch'!$X$2:$X$201,'Dữ liệu sạch'!$E$2:$E$201,$A106)</f>
        <v>1693200</v>
      </c>
      <c r="H106" s="10" t="str">
        <f t="shared" si="13"/>
        <v>Tiềm năng</v>
      </c>
      <c r="I106" s="47">
        <f t="shared" si="14"/>
        <v>3813200.0001059999</v>
      </c>
    </row>
    <row r="107" spans="1:9" x14ac:dyDescent="0.35">
      <c r="A107" s="10" t="s">
        <v>90</v>
      </c>
      <c r="B107" s="8" t="s">
        <v>91</v>
      </c>
      <c r="C107" s="8" t="s">
        <v>40</v>
      </c>
      <c r="D107" s="8" t="s">
        <v>63</v>
      </c>
      <c r="E107" s="26">
        <f>COUNTIFS('Dữ liệu sạch'!$E$2:$E$201,$A107,'Dữ liệu sạch'!$R$2:$R$201,"Hoàn thành")</f>
        <v>4</v>
      </c>
      <c r="F107" s="14">
        <f>SUMIFS('Dữ liệu sạch'!$W$2:$W$201,'Dữ liệu sạch'!$E$2:$E$201,$A107)</f>
        <v>5872000</v>
      </c>
      <c r="G107" s="14">
        <f>SUMIFS('Dữ liệu sạch'!$X$2:$X$201,'Dữ liệu sạch'!$E$2:$E$201,$A107)</f>
        <v>2302000</v>
      </c>
      <c r="H107" s="10" t="str">
        <f t="shared" si="13"/>
        <v>Thân thiết</v>
      </c>
      <c r="I107" s="47">
        <f t="shared" si="14"/>
        <v>5872000.0001069997</v>
      </c>
    </row>
    <row r="108" spans="1:9" x14ac:dyDescent="0.35">
      <c r="A108" s="10" t="s">
        <v>110</v>
      </c>
      <c r="B108" s="8" t="s">
        <v>111</v>
      </c>
      <c r="C108" s="8" t="s">
        <v>12</v>
      </c>
      <c r="D108" s="8" t="s">
        <v>14</v>
      </c>
      <c r="E108" s="26">
        <f>COUNTIFS('Dữ liệu sạch'!$E$2:$E$201,$A108,'Dữ liệu sạch'!$R$2:$R$201,"Hoàn thành")</f>
        <v>2</v>
      </c>
      <c r="F108" s="14">
        <f>SUMIFS('Dữ liệu sạch'!$W$2:$W$201,'Dữ liệu sạch'!$E$2:$E$201,$A108)</f>
        <v>5181600</v>
      </c>
      <c r="G108" s="14">
        <f>SUMIFS('Dữ liệu sạch'!$X$2:$X$201,'Dữ liệu sạch'!$E$2:$E$201,$A108)</f>
        <v>1671600</v>
      </c>
      <c r="H108" s="10" t="str">
        <f t="shared" si="13"/>
        <v>Thân thiết</v>
      </c>
      <c r="I108" s="47">
        <f t="shared" si="14"/>
        <v>5181600.0001079999</v>
      </c>
    </row>
    <row r="109" spans="1:9" x14ac:dyDescent="0.35">
      <c r="A109" s="10" t="s">
        <v>103</v>
      </c>
      <c r="B109" s="8" t="s">
        <v>104</v>
      </c>
      <c r="C109" s="8" t="s">
        <v>40</v>
      </c>
      <c r="D109" s="8" t="s">
        <v>14</v>
      </c>
      <c r="E109" s="26">
        <f>COUNTIFS('Dữ liệu sạch'!$E$2:$E$201,$A109,'Dữ liệu sạch'!$R$2:$R$201,"Hoàn thành")</f>
        <v>7</v>
      </c>
      <c r="F109" s="14">
        <f>SUMIFS('Dữ liệu sạch'!$W$2:$W$201,'Dữ liệu sạch'!$E$2:$E$201,$A109)</f>
        <v>13298400</v>
      </c>
      <c r="G109" s="14">
        <f>SUMIFS('Dữ liệu sạch'!$X$2:$X$201,'Dữ liệu sạch'!$E$2:$E$201,$A109)</f>
        <v>6118400</v>
      </c>
      <c r="H109" s="10" t="str">
        <f t="shared" si="13"/>
        <v>VIP</v>
      </c>
      <c r="I109" s="47">
        <f t="shared" si="14"/>
        <v>13298400.000109</v>
      </c>
    </row>
    <row r="110" spans="1:9" x14ac:dyDescent="0.35">
      <c r="A110" s="10" t="s">
        <v>113</v>
      </c>
      <c r="B110" s="8" t="s">
        <v>114</v>
      </c>
      <c r="C110" s="8" t="s">
        <v>40</v>
      </c>
      <c r="D110" s="8" t="s">
        <v>14</v>
      </c>
      <c r="E110" s="26">
        <f>COUNTIFS('Dữ liệu sạch'!$E$2:$E$201,$A110,'Dữ liệu sạch'!$R$2:$R$201,"Hoàn thành")</f>
        <v>5</v>
      </c>
      <c r="F110" s="14">
        <f>SUMIFS('Dữ liệu sạch'!$W$2:$W$201,'Dữ liệu sạch'!$E$2:$E$201,$A110)</f>
        <v>2851200</v>
      </c>
      <c r="G110" s="14">
        <f>SUMIFS('Dữ liệu sạch'!$X$2:$X$201,'Dữ liệu sạch'!$E$2:$E$201,$A110)</f>
        <v>971200</v>
      </c>
      <c r="H110" s="10" t="str">
        <f t="shared" si="13"/>
        <v>Tiềm năng</v>
      </c>
      <c r="I110" s="47">
        <f t="shared" si="14"/>
        <v>2851200.0001099999</v>
      </c>
    </row>
    <row r="111" spans="1:9" x14ac:dyDescent="0.35">
      <c r="A111" s="10" t="s">
        <v>412</v>
      </c>
      <c r="B111" s="8" t="s">
        <v>413</v>
      </c>
      <c r="C111" s="8" t="s">
        <v>40</v>
      </c>
      <c r="D111" s="8" t="s">
        <v>63</v>
      </c>
      <c r="E111" s="26">
        <f>COUNTIFS('Dữ liệu sạch'!$E$2:$E$201,$A111,'Dữ liệu sạch'!$R$2:$R$201,"Hoàn thành")</f>
        <v>1</v>
      </c>
      <c r="F111" s="14">
        <f>SUMIFS('Dữ liệu sạch'!$W$2:$W$201,'Dữ liệu sạch'!$E$2:$E$201,$A111)</f>
        <v>1600000</v>
      </c>
      <c r="G111" s="14">
        <f>SUMIFS('Dữ liệu sạch'!$X$2:$X$201,'Dữ liệu sạch'!$E$2:$E$201,$A111)</f>
        <v>600000</v>
      </c>
      <c r="H111" s="10" t="str">
        <f t="shared" si="13"/>
        <v>Tiềm năng</v>
      </c>
      <c r="I111" s="47">
        <f t="shared" si="14"/>
        <v>1600000.0001109999</v>
      </c>
    </row>
    <row r="112" spans="1:9" x14ac:dyDescent="0.35">
      <c r="A112" s="10" t="s">
        <v>327</v>
      </c>
      <c r="B112" s="8" t="s">
        <v>328</v>
      </c>
      <c r="C112" s="8" t="s">
        <v>12</v>
      </c>
      <c r="D112" s="8" t="s">
        <v>41</v>
      </c>
      <c r="E112" s="26">
        <f>COUNTIFS('Dữ liệu sạch'!$E$2:$E$201,$A112,'Dữ liệu sạch'!$R$2:$R$201,"Hoàn thành")</f>
        <v>2</v>
      </c>
      <c r="F112" s="14">
        <f>SUMIFS('Dữ liệu sạch'!$W$2:$W$201,'Dữ liệu sạch'!$E$2:$E$201,$A112)</f>
        <v>6570000</v>
      </c>
      <c r="G112" s="14">
        <f>SUMIFS('Dữ liệu sạch'!$X$2:$X$201,'Dữ liệu sạch'!$E$2:$E$201,$A112)</f>
        <v>2330000</v>
      </c>
      <c r="H112" s="10" t="str">
        <f t="shared" si="13"/>
        <v>Thân thiết</v>
      </c>
      <c r="I112" s="47">
        <f t="shared" si="14"/>
        <v>6570000.0001119999</v>
      </c>
    </row>
    <row r="113" spans="1:9" x14ac:dyDescent="0.35">
      <c r="A113" s="10" t="s">
        <v>292</v>
      </c>
      <c r="B113" s="8" t="s">
        <v>293</v>
      </c>
      <c r="C113" s="8" t="s">
        <v>40</v>
      </c>
      <c r="D113" s="8" t="s">
        <v>14</v>
      </c>
      <c r="E113" s="26">
        <f>COUNTIFS('Dữ liệu sạch'!$E$2:$E$201,$A113,'Dữ liệu sạch'!$R$2:$R$201,"Hoàn thành")</f>
        <v>2</v>
      </c>
      <c r="F113" s="14">
        <f>SUMIFS('Dữ liệu sạch'!$W$2:$W$201,'Dữ liệu sạch'!$E$2:$E$201,$A113)</f>
        <v>4468800</v>
      </c>
      <c r="G113" s="14">
        <f>SUMIFS('Dữ liệu sạch'!$X$2:$X$201,'Dữ liệu sạch'!$E$2:$E$201,$A113)</f>
        <v>1468800</v>
      </c>
      <c r="H113" s="10" t="str">
        <f t="shared" si="13"/>
        <v>Tiềm năng</v>
      </c>
      <c r="I113" s="47">
        <f t="shared" si="14"/>
        <v>4468800.0001130002</v>
      </c>
    </row>
  </sheetData>
  <mergeCells count="8">
    <mergeCell ref="A27:I27"/>
    <mergeCell ref="A38:I38"/>
    <mergeCell ref="A52:I52"/>
    <mergeCell ref="A1:I1"/>
    <mergeCell ref="A2:I2"/>
    <mergeCell ref="A4:I4"/>
    <mergeCell ref="A10:I10"/>
    <mergeCell ref="A23:I23"/>
  </mergeCells>
  <conditionalFormatting sqref="C12:C19">
    <cfRule type="dataBar" priority="2">
      <dataBar>
        <cfvo type="num" val="0"/>
        <cfvo type="max"/>
        <color rgb="FF8FAADC"/>
      </dataBar>
      <extLst>
        <ext xmlns:x14="http://schemas.microsoft.com/office/spreadsheetml/2009/9/main" uri="{B025F937-C7B1-47D3-B67F-A62EFF666E3E}">
          <x14:id>{BC8C2782-C2D4-4DA0-A913-1D4EC08BCCB3}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8C2782-C2D4-4DA0-A913-1D4EC08BCCB3}">
            <x14:dataBar axisPosition="none">
              <x14:cfvo type="num">
                <xm:f>0</xm:f>
              </x14:cfvo>
              <x14:cfvo type="max"/>
              <x14:negativeFillColor rgb="FF8FAADC"/>
            </x14:dataBar>
          </x14:cfRule>
          <xm:sqref>C12:C19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M9"/>
  <sheetViews>
    <sheetView showGridLines="0" topLeftCell="A44" zoomScaleNormal="100" workbookViewId="0">
      <selection activeCell="B2" sqref="B2:M2"/>
    </sheetView>
  </sheetViews>
  <sheetFormatPr defaultColWidth="8.6328125" defaultRowHeight="14.5" x14ac:dyDescent="0.35"/>
  <cols>
    <col min="1" max="1" width="2" customWidth="1"/>
    <col min="2" max="13" width="13" customWidth="1"/>
  </cols>
  <sheetData>
    <row r="1" spans="1:13" ht="36" customHeight="1" x14ac:dyDescent="0.35">
      <c r="A1" s="53"/>
      <c r="B1" s="57" t="s">
        <v>624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13" x14ac:dyDescent="0.35"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</row>
    <row r="4" spans="1:13" ht="21.75" customHeight="1" x14ac:dyDescent="0.35">
      <c r="B4" s="59" t="s">
        <v>625</v>
      </c>
      <c r="C4" s="59"/>
      <c r="D4" s="59"/>
      <c r="E4" s="59" t="s">
        <v>626</v>
      </c>
      <c r="F4" s="59"/>
      <c r="G4" s="59"/>
      <c r="H4" s="59" t="s">
        <v>627</v>
      </c>
      <c r="I4" s="59"/>
      <c r="J4" s="59"/>
      <c r="K4" s="59" t="s">
        <v>628</v>
      </c>
      <c r="L4" s="59"/>
      <c r="M4" s="59"/>
    </row>
    <row r="5" spans="1:13" ht="36" customHeight="1" x14ac:dyDescent="0.35">
      <c r="B5" s="60">
        <f>SUM('Dữ liệu sạch'!$W$2:$W$201)</f>
        <v>346260650</v>
      </c>
      <c r="C5" s="60"/>
      <c r="D5" s="60"/>
      <c r="E5" s="60">
        <f>SUM('Dữ liệu sạch'!$X$2:$X$201)</f>
        <v>131000650</v>
      </c>
      <c r="F5" s="60"/>
      <c r="G5" s="60"/>
      <c r="H5" s="61">
        <f>IF(B5=0,0,E5/B5)</f>
        <v>0.37832959072883388</v>
      </c>
      <c r="I5" s="61"/>
      <c r="J5" s="61"/>
      <c r="K5" s="62">
        <f>COUNTIF('Dữ liệu sạch'!$R$2:$R$201,"Hoàn thành")</f>
        <v>176</v>
      </c>
      <c r="L5" s="62"/>
      <c r="M5" s="62"/>
    </row>
    <row r="6" spans="1:13" ht="7.5" customHeight="1" x14ac:dyDescent="0.35"/>
    <row r="7" spans="1:13" ht="21.75" customHeight="1" x14ac:dyDescent="0.35">
      <c r="B7" s="59" t="s">
        <v>629</v>
      </c>
      <c r="C7" s="59"/>
      <c r="D7" s="59"/>
      <c r="E7" s="59" t="s">
        <v>630</v>
      </c>
      <c r="F7" s="59"/>
      <c r="G7" s="59"/>
      <c r="H7" s="59" t="s">
        <v>631</v>
      </c>
      <c r="I7" s="59"/>
      <c r="J7" s="59"/>
      <c r="K7" s="59" t="s">
        <v>632</v>
      </c>
      <c r="L7" s="59"/>
      <c r="M7" s="59"/>
    </row>
    <row r="8" spans="1:13" ht="36" customHeight="1" x14ac:dyDescent="0.35">
      <c r="B8" s="60">
        <f>IF(K5=0,0,B5/K5)</f>
        <v>1967390.0568181819</v>
      </c>
      <c r="C8" s="60"/>
      <c r="D8" s="60"/>
      <c r="E8" s="61">
        <f>COUNTIF('Dữ liệu sạch'!$R$2:$R$201,"&lt;&gt;Hoàn thành")/COUNTA('Dữ liệu sạch'!$A$2:$A$201)</f>
        <v>0.12</v>
      </c>
      <c r="F8" s="61"/>
      <c r="G8" s="61"/>
      <c r="H8" s="62">
        <f>'PT Khách hàng - NV'!B35</f>
        <v>59</v>
      </c>
      <c r="I8" s="62"/>
      <c r="J8" s="62"/>
      <c r="K8" s="63">
        <f>IF('PT Thời gian'!C23=0,0,'PT Thời gian'!C26/'PT Thời gian'!C23-1)</f>
        <v>0.5721894052781018</v>
      </c>
      <c r="L8" s="63"/>
      <c r="M8" s="63"/>
    </row>
    <row r="9" spans="1:13" ht="9.75" customHeight="1" x14ac:dyDescent="0.35"/>
  </sheetData>
  <mergeCells count="18">
    <mergeCell ref="B8:D8"/>
    <mergeCell ref="E8:G8"/>
    <mergeCell ref="H8:J8"/>
    <mergeCell ref="K8:M8"/>
    <mergeCell ref="B5:D5"/>
    <mergeCell ref="E5:G5"/>
    <mergeCell ref="H5:J5"/>
    <mergeCell ref="K5:M5"/>
    <mergeCell ref="B7:D7"/>
    <mergeCell ref="E7:G7"/>
    <mergeCell ref="H7:J7"/>
    <mergeCell ref="K7:M7"/>
    <mergeCell ref="B1:M1"/>
    <mergeCell ref="B2:M2"/>
    <mergeCell ref="B4:D4"/>
    <mergeCell ref="E4:G4"/>
    <mergeCell ref="H4:J4"/>
    <mergeCell ref="K4:M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C000"/>
  </sheetPr>
  <dimension ref="A1:D23"/>
  <sheetViews>
    <sheetView showGridLines="0" tabSelected="1" topLeftCell="A14" zoomScaleNormal="100" workbookViewId="0">
      <selection activeCell="B18" sqref="B18:D18"/>
    </sheetView>
  </sheetViews>
  <sheetFormatPr defaultColWidth="8.6328125" defaultRowHeight="14.5" x14ac:dyDescent="0.35"/>
  <cols>
    <col min="1" max="1" width="6" customWidth="1"/>
    <col min="2" max="2" width="24" customWidth="1"/>
    <col min="3" max="3" width="78" customWidth="1"/>
    <col min="4" max="4" width="62" customWidth="1"/>
  </cols>
  <sheetData>
    <row r="1" spans="1:4" ht="31.5" customHeight="1" x14ac:dyDescent="0.35">
      <c r="A1" s="7"/>
      <c r="B1" s="7"/>
      <c r="C1" s="7"/>
      <c r="D1" s="7"/>
    </row>
    <row r="2" spans="1:4" ht="30" customHeight="1" x14ac:dyDescent="0.35">
      <c r="A2" s="6"/>
      <c r="B2" s="6"/>
      <c r="C2" s="6"/>
      <c r="D2" s="6"/>
    </row>
    <row r="4" spans="1:4" ht="19.5" customHeight="1" x14ac:dyDescent="0.35">
      <c r="A4" s="5" t="s">
        <v>633</v>
      </c>
      <c r="B4" s="5"/>
      <c r="C4" s="5"/>
      <c r="D4" s="5"/>
    </row>
    <row r="5" spans="1:4" ht="31.5" customHeight="1" x14ac:dyDescent="0.35">
      <c r="A5" s="9" t="s">
        <v>0</v>
      </c>
      <c r="B5" s="9" t="s">
        <v>634</v>
      </c>
      <c r="C5" s="9" t="s">
        <v>635</v>
      </c>
      <c r="D5" s="9" t="s">
        <v>636</v>
      </c>
    </row>
    <row r="6" spans="1:4" ht="57.75" customHeight="1" x14ac:dyDescent="0.35">
      <c r="A6" s="10">
        <v>1</v>
      </c>
      <c r="B6" s="54" t="s">
        <v>637</v>
      </c>
      <c r="C6" s="55" t="s">
        <v>638</v>
      </c>
      <c r="D6" s="55" t="s">
        <v>639</v>
      </c>
    </row>
    <row r="7" spans="1:4" ht="57.75" customHeight="1" x14ac:dyDescent="0.35">
      <c r="A7" s="10">
        <v>2</v>
      </c>
      <c r="B7" s="54" t="s">
        <v>640</v>
      </c>
      <c r="C7" s="55" t="s">
        <v>641</v>
      </c>
      <c r="D7" s="55" t="s">
        <v>642</v>
      </c>
    </row>
    <row r="8" spans="1:4" ht="57.75" customHeight="1" x14ac:dyDescent="0.35">
      <c r="A8" s="10">
        <v>3</v>
      </c>
      <c r="B8" s="54" t="s">
        <v>643</v>
      </c>
      <c r="C8" s="55" t="s">
        <v>644</v>
      </c>
      <c r="D8" s="55" t="s">
        <v>645</v>
      </c>
    </row>
    <row r="9" spans="1:4" ht="57.75" customHeight="1" x14ac:dyDescent="0.35">
      <c r="A9" s="10">
        <v>4</v>
      </c>
      <c r="B9" s="54" t="s">
        <v>646</v>
      </c>
      <c r="C9" s="55" t="s">
        <v>647</v>
      </c>
      <c r="D9" s="55" t="s">
        <v>648</v>
      </c>
    </row>
    <row r="10" spans="1:4" ht="63.75" customHeight="1" x14ac:dyDescent="0.35">
      <c r="A10" s="10">
        <v>5</v>
      </c>
      <c r="B10" s="54" t="s">
        <v>649</v>
      </c>
      <c r="C10" s="55" t="s">
        <v>650</v>
      </c>
      <c r="D10" s="55" t="s">
        <v>651</v>
      </c>
    </row>
    <row r="11" spans="1:4" ht="57.75" customHeight="1" x14ac:dyDescent="0.35">
      <c r="A11" s="10">
        <v>6</v>
      </c>
      <c r="B11" s="54" t="s">
        <v>652</v>
      </c>
      <c r="C11" s="55" t="s">
        <v>653</v>
      </c>
      <c r="D11" s="55" t="s">
        <v>654</v>
      </c>
    </row>
    <row r="12" spans="1:4" ht="57.75" customHeight="1" x14ac:dyDescent="0.35">
      <c r="A12" s="10">
        <v>7</v>
      </c>
      <c r="B12" s="54" t="s">
        <v>655</v>
      </c>
      <c r="C12" s="55" t="s">
        <v>656</v>
      </c>
      <c r="D12" s="55" t="s">
        <v>657</v>
      </c>
    </row>
    <row r="13" spans="1:4" ht="57.75" customHeight="1" x14ac:dyDescent="0.35">
      <c r="A13" s="10">
        <v>8</v>
      </c>
      <c r="B13" s="54" t="s">
        <v>658</v>
      </c>
      <c r="C13" s="55" t="s">
        <v>659</v>
      </c>
      <c r="D13" s="55" t="s">
        <v>660</v>
      </c>
    </row>
    <row r="15" spans="1:4" ht="19.5" customHeight="1" x14ac:dyDescent="0.35">
      <c r="A15" s="66"/>
      <c r="B15" s="66"/>
      <c r="C15" s="66"/>
      <c r="D15" s="66"/>
    </row>
    <row r="16" spans="1:4" ht="27.75" customHeight="1" x14ac:dyDescent="0.35">
      <c r="A16" s="56"/>
      <c r="B16" s="64"/>
      <c r="C16" s="64"/>
      <c r="D16" s="64"/>
    </row>
    <row r="17" spans="1:4" ht="27.75" customHeight="1" x14ac:dyDescent="0.35">
      <c r="A17" s="56"/>
      <c r="B17" s="64"/>
      <c r="C17" s="64"/>
      <c r="D17" s="64"/>
    </row>
    <row r="18" spans="1:4" ht="27.75" customHeight="1" x14ac:dyDescent="0.35">
      <c r="A18" s="56"/>
      <c r="B18" s="64"/>
      <c r="C18" s="64"/>
      <c r="D18" s="64"/>
    </row>
    <row r="20" spans="1:4" ht="19.5" customHeight="1" x14ac:dyDescent="0.35">
      <c r="A20" s="66"/>
      <c r="B20" s="66"/>
      <c r="C20" s="66"/>
      <c r="D20" s="66"/>
    </row>
    <row r="21" spans="1:4" ht="27.75" customHeight="1" x14ac:dyDescent="0.35">
      <c r="A21" s="56"/>
      <c r="B21" s="64"/>
      <c r="C21" s="64"/>
      <c r="D21" s="64"/>
    </row>
    <row r="22" spans="1:4" ht="27.75" customHeight="1" x14ac:dyDescent="0.35">
      <c r="A22" s="56"/>
      <c r="B22" s="64"/>
      <c r="C22" s="64"/>
      <c r="D22" s="64"/>
    </row>
    <row r="23" spans="1:4" ht="27.75" customHeight="1" x14ac:dyDescent="0.35">
      <c r="A23" s="56"/>
      <c r="B23" s="64"/>
      <c r="C23" s="64"/>
      <c r="D23" s="64"/>
    </row>
  </sheetData>
  <mergeCells count="11">
    <mergeCell ref="B23:D23"/>
    <mergeCell ref="B17:D17"/>
    <mergeCell ref="B18:D18"/>
    <mergeCell ref="A20:D20"/>
    <mergeCell ref="B21:D21"/>
    <mergeCell ref="B22:D22"/>
    <mergeCell ref="A1:D1"/>
    <mergeCell ref="A2:D2"/>
    <mergeCell ref="A4:D4"/>
    <mergeCell ref="A15:D15"/>
    <mergeCell ref="B16:D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Dữ liệu thô</vt:lpstr>
      <vt:lpstr>Làm sạch dữ liệu</vt:lpstr>
      <vt:lpstr>Dữ liệu sạch</vt:lpstr>
      <vt:lpstr>Thống kê mô tả</vt:lpstr>
      <vt:lpstr>PT Thời gian</vt:lpstr>
      <vt:lpstr>PT Sản phẩm</vt:lpstr>
      <vt:lpstr>PT Khu vực - Kênh</vt:lpstr>
      <vt:lpstr>PT Khách hàng - NV</vt:lpstr>
      <vt:lpstr>Dashboard</vt:lpstr>
      <vt:lpstr>Insight - Đề xuất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nam nguyễn</cp:lastModifiedBy>
  <cp:revision>1</cp:revision>
  <dcterms:created xsi:type="dcterms:W3CDTF">2026-10-05T02:37:54Z</dcterms:created>
  <dcterms:modified xsi:type="dcterms:W3CDTF">2026-10-05T02:53:50Z</dcterms:modified>
  <dc:language>en-US</dc:language>
</cp:coreProperties>
</file>